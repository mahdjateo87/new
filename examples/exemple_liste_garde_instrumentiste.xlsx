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2.xml" ContentType="application/vnd.openxmlformats-officedocument.spreadsheetml.comments+xml"/>
  <Override PartName="/xl/drawings/drawing24.xml" ContentType="application/vnd.openxmlformats-officedocument.drawing+xml"/>
  <Override PartName="/xl/comments3.xml" ContentType="application/vnd.openxmlformats-officedocument.spreadsheetml.comments+xml"/>
  <Override PartName="/xl/drawings/drawing25.xml" ContentType="application/vnd.openxmlformats-officedocument.drawing+xml"/>
  <Override PartName="/xl/comments4.xml" ContentType="application/vnd.openxmlformats-officedocument.spreadsheetml.comments+xml"/>
  <Override PartName="/xl/drawings/drawing26.xml" ContentType="application/vnd.openxmlformats-officedocument.drawing+xml"/>
  <Override PartName="/xl/comments5.xml" ContentType="application/vnd.openxmlformats-officedocument.spreadsheetml.comments+xml"/>
  <Override PartName="/xl/drawings/drawing27.xml" ContentType="application/vnd.openxmlformats-officedocument.drawing+xml"/>
  <Override PartName="/xl/comments6.xml" ContentType="application/vnd.openxmlformats-officedocument.spreadsheetml.comments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o.mahdjat\Desktop\INSTRUMENTISTE\"/>
    </mc:Choice>
  </mc:AlternateContent>
  <xr:revisionPtr revIDLastSave="0" documentId="13_ncr:1_{C3B951B6-5FA0-4688-A675-ED8B4DA1B001}" xr6:coauthVersionLast="47" xr6:coauthVersionMax="47" xr10:uidLastSave="{00000000-0000-0000-0000-000000000000}"/>
  <bookViews>
    <workbookView xWindow="3120" yWindow="1110" windowWidth="25155" windowHeight="15090" tabRatio="864" firstSheet="8" activeTab="32" xr2:uid="{00000000-000D-0000-FFFF-FFFF00000000}"/>
  </bookViews>
  <sheets>
    <sheet name="octobre" sheetId="2" r:id="rId1"/>
    <sheet name="novembre" sheetId="3" r:id="rId2"/>
    <sheet name="DECEMBRE" sheetId="4" r:id="rId3"/>
    <sheet name="mars" sheetId="8" r:id="rId4"/>
    <sheet name="JANVIER" sheetId="6" r:id="rId5"/>
    <sheet name="FEVRIER" sheetId="7" r:id="rId6"/>
    <sheet name="AVRIL" sheetId="9" r:id="rId7"/>
    <sheet name="mai" sheetId="11" r:id="rId8"/>
    <sheet name="juin" sheetId="14" r:id="rId9"/>
    <sheet name="juillet" sheetId="15" r:id="rId10"/>
    <sheet name="aout" sheetId="16" r:id="rId11"/>
    <sheet name="septembre" sheetId="17" r:id="rId12"/>
    <sheet name="octobr" sheetId="18" r:id="rId13"/>
    <sheet name="novbre" sheetId="19" r:id="rId14"/>
    <sheet name="DéCEMBRE" sheetId="20" r:id="rId15"/>
    <sheet name="janver" sheetId="21" r:id="rId16"/>
    <sheet name="FVRIER" sheetId="22" r:id="rId17"/>
    <sheet name="marss" sheetId="23" r:id="rId18"/>
    <sheet name="avril  " sheetId="25" r:id="rId19"/>
    <sheet name="juillett" sheetId="28" r:id="rId20"/>
    <sheet name="maii" sheetId="26" r:id="rId21"/>
    <sheet name="juinn" sheetId="27" r:id="rId22"/>
    <sheet name="AOUTT" sheetId="29" r:id="rId23"/>
    <sheet name="sept" sheetId="31" r:id="rId24"/>
    <sheet name="OCT" sheetId="32" r:id="rId25"/>
    <sheet name="NOV" sheetId="33" r:id="rId26"/>
    <sheet name="DEC" sheetId="34" r:id="rId27"/>
    <sheet name="janv" sheetId="35" r:id="rId28"/>
    <sheet name="FEV" sheetId="36" r:id="rId29"/>
    <sheet name="MAR" sheetId="37" r:id="rId30"/>
    <sheet name="AVR" sheetId="38" r:id="rId31"/>
    <sheet name="ma" sheetId="39" r:id="rId32"/>
    <sheet name="JUI" sheetId="40" r:id="rId33"/>
  </sheets>
  <definedNames>
    <definedName name="_xlnm._FilterDatabase" localSheetId="3" hidden="1">mars!$F$1:$G$54</definedName>
  </definedNames>
  <calcPr calcId="181029"/>
</workbook>
</file>

<file path=xl/calcChain.xml><?xml version="1.0" encoding="utf-8"?>
<calcChain xmlns="http://schemas.openxmlformats.org/spreadsheetml/2006/main">
  <c r="Q15" i="40" l="1"/>
  <c r="Q5" i="40"/>
  <c r="Q4" i="40"/>
  <c r="S4" i="40"/>
  <c r="R4" i="40"/>
  <c r="Q23" i="39"/>
  <c r="P23" i="39"/>
  <c r="S23" i="39"/>
  <c r="S22" i="39"/>
  <c r="R22" i="39"/>
  <c r="Q22" i="39"/>
  <c r="P22" i="39"/>
  <c r="R23" i="39"/>
  <c r="P13" i="39"/>
  <c r="P4" i="40"/>
  <c r="S21" i="40"/>
  <c r="R21" i="40"/>
  <c r="Q21" i="40"/>
  <c r="P21" i="40"/>
  <c r="S20" i="40"/>
  <c r="R20" i="40"/>
  <c r="Q20" i="40"/>
  <c r="P20" i="40"/>
  <c r="S19" i="40"/>
  <c r="R19" i="40"/>
  <c r="Q19" i="40"/>
  <c r="P19" i="40"/>
  <c r="S18" i="40"/>
  <c r="R18" i="40"/>
  <c r="Q18" i="40"/>
  <c r="P18" i="40"/>
  <c r="S17" i="40"/>
  <c r="R17" i="40"/>
  <c r="Q17" i="40"/>
  <c r="P17" i="40"/>
  <c r="S16" i="40"/>
  <c r="R16" i="40"/>
  <c r="Q16" i="40"/>
  <c r="P16" i="40"/>
  <c r="S15" i="40"/>
  <c r="R15" i="40"/>
  <c r="P15" i="40"/>
  <c r="S14" i="40"/>
  <c r="R14" i="40"/>
  <c r="Q14" i="40"/>
  <c r="P14" i="40"/>
  <c r="S13" i="40"/>
  <c r="R13" i="40"/>
  <c r="Q13" i="40"/>
  <c r="P13" i="40"/>
  <c r="S12" i="40"/>
  <c r="R12" i="40"/>
  <c r="Q12" i="40"/>
  <c r="P12" i="40"/>
  <c r="S11" i="40"/>
  <c r="R11" i="40"/>
  <c r="Q11" i="40"/>
  <c r="P11" i="40"/>
  <c r="S10" i="40"/>
  <c r="R10" i="40"/>
  <c r="Q10" i="40"/>
  <c r="P10" i="40"/>
  <c r="S9" i="40"/>
  <c r="R9" i="40"/>
  <c r="Q9" i="40"/>
  <c r="P9" i="40"/>
  <c r="S8" i="40"/>
  <c r="R8" i="40"/>
  <c r="Q8" i="40"/>
  <c r="P8" i="40"/>
  <c r="S7" i="40"/>
  <c r="R7" i="40"/>
  <c r="Q7" i="40"/>
  <c r="P7" i="40"/>
  <c r="S6" i="40"/>
  <c r="R6" i="40"/>
  <c r="Q6" i="40"/>
  <c r="P6" i="40"/>
  <c r="S5" i="40"/>
  <c r="R5" i="40"/>
  <c r="P5" i="40"/>
  <c r="S4" i="39"/>
  <c r="Q21" i="39"/>
  <c r="P21" i="39"/>
  <c r="R21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S8" i="39"/>
  <c r="S7" i="39"/>
  <c r="S6" i="39"/>
  <c r="S5" i="39"/>
  <c r="R20" i="39"/>
  <c r="Q20" i="39"/>
  <c r="P20" i="39"/>
  <c r="R19" i="39"/>
  <c r="Q19" i="39"/>
  <c r="P19" i="39"/>
  <c r="R17" i="39"/>
  <c r="Q17" i="39"/>
  <c r="P17" i="39"/>
  <c r="R16" i="39"/>
  <c r="Q16" i="39"/>
  <c r="P16" i="39"/>
  <c r="R15" i="39"/>
  <c r="Q15" i="39"/>
  <c r="P15" i="39"/>
  <c r="R14" i="39"/>
  <c r="Q14" i="39"/>
  <c r="P14" i="39"/>
  <c r="R13" i="39"/>
  <c r="Q13" i="39"/>
  <c r="R12" i="39"/>
  <c r="Q12" i="39"/>
  <c r="P12" i="39"/>
  <c r="R11" i="39"/>
  <c r="P11" i="39"/>
  <c r="Q11" i="39"/>
  <c r="R10" i="39"/>
  <c r="Q10" i="39"/>
  <c r="P10" i="39"/>
  <c r="R9" i="39"/>
  <c r="Q9" i="39"/>
  <c r="P9" i="39"/>
  <c r="R8" i="39"/>
  <c r="Q8" i="39"/>
  <c r="P8" i="39"/>
  <c r="R7" i="39"/>
  <c r="Q7" i="39"/>
  <c r="P7" i="39"/>
  <c r="P6" i="39"/>
  <c r="Q6" i="39"/>
  <c r="R6" i="39"/>
  <c r="R5" i="39"/>
  <c r="Q5" i="39"/>
  <c r="P5" i="39"/>
  <c r="P4" i="39"/>
  <c r="Q4" i="39"/>
  <c r="Q5" i="38"/>
  <c r="S5" i="38"/>
  <c r="R18" i="39"/>
  <c r="Q18" i="39"/>
  <c r="P18" i="39"/>
  <c r="S20" i="38"/>
  <c r="R20" i="38"/>
  <c r="Q20" i="38"/>
  <c r="P20" i="38"/>
  <c r="S19" i="38"/>
  <c r="R19" i="38"/>
  <c r="Q19" i="38"/>
  <c r="P19" i="38"/>
  <c r="S18" i="38"/>
  <c r="R18" i="38"/>
  <c r="Q18" i="38"/>
  <c r="P18" i="38"/>
  <c r="S17" i="38"/>
  <c r="R17" i="38"/>
  <c r="Q17" i="38"/>
  <c r="P17" i="38"/>
  <c r="S16" i="38"/>
  <c r="R16" i="38"/>
  <c r="Q16" i="38"/>
  <c r="P16" i="38"/>
  <c r="S15" i="38"/>
  <c r="R15" i="38"/>
  <c r="Q15" i="38"/>
  <c r="P15" i="38"/>
  <c r="S14" i="38"/>
  <c r="R14" i="38"/>
  <c r="Q14" i="38"/>
  <c r="P14" i="38"/>
  <c r="S13" i="38"/>
  <c r="R13" i="38"/>
  <c r="Q13" i="38"/>
  <c r="P13" i="38"/>
  <c r="S12" i="38"/>
  <c r="R12" i="38"/>
  <c r="Q12" i="38"/>
  <c r="P12" i="38"/>
  <c r="S11" i="38"/>
  <c r="R11" i="38"/>
  <c r="Q11" i="38"/>
  <c r="P11" i="38"/>
  <c r="S10" i="38"/>
  <c r="R10" i="38"/>
  <c r="Q10" i="38"/>
  <c r="P10" i="38"/>
  <c r="S9" i="38"/>
  <c r="R9" i="38"/>
  <c r="Q9" i="38"/>
  <c r="P9" i="38"/>
  <c r="S8" i="38"/>
  <c r="R8" i="38"/>
  <c r="Q8" i="38"/>
  <c r="P8" i="38"/>
  <c r="S7" i="38"/>
  <c r="R7" i="38"/>
  <c r="Q7" i="38"/>
  <c r="P7" i="38"/>
  <c r="S6" i="38"/>
  <c r="R6" i="38"/>
  <c r="Q6" i="38"/>
  <c r="P6" i="38"/>
  <c r="R5" i="38"/>
  <c r="P5" i="38"/>
  <c r="S4" i="38"/>
  <c r="R4" i="38"/>
  <c r="Q4" i="38"/>
  <c r="P4" i="38"/>
  <c r="S20" i="37"/>
  <c r="R20" i="37"/>
  <c r="Q20" i="37"/>
  <c r="P20" i="37"/>
  <c r="S19" i="37"/>
  <c r="R19" i="37"/>
  <c r="Q19" i="37"/>
  <c r="P19" i="37"/>
  <c r="S18" i="37"/>
  <c r="R18" i="37"/>
  <c r="Q18" i="37"/>
  <c r="P18" i="37"/>
  <c r="S17" i="37"/>
  <c r="R17" i="37"/>
  <c r="Q17" i="37"/>
  <c r="P17" i="37"/>
  <c r="S16" i="37"/>
  <c r="R16" i="37"/>
  <c r="Q16" i="37"/>
  <c r="P16" i="37"/>
  <c r="S15" i="37"/>
  <c r="R15" i="37"/>
  <c r="Q15" i="37"/>
  <c r="P15" i="37"/>
  <c r="S14" i="37"/>
  <c r="R14" i="37"/>
  <c r="Q14" i="37"/>
  <c r="P14" i="37"/>
  <c r="S13" i="37"/>
  <c r="R13" i="37"/>
  <c r="Q13" i="37"/>
  <c r="P13" i="37"/>
  <c r="S12" i="37"/>
  <c r="R12" i="37"/>
  <c r="Q12" i="37"/>
  <c r="P12" i="37"/>
  <c r="S11" i="37"/>
  <c r="R11" i="37"/>
  <c r="Q11" i="37"/>
  <c r="P11" i="37"/>
  <c r="S10" i="37"/>
  <c r="R10" i="37"/>
  <c r="Q10" i="37"/>
  <c r="P10" i="37"/>
  <c r="S9" i="37"/>
  <c r="R9" i="37"/>
  <c r="Q9" i="37"/>
  <c r="P9" i="37"/>
  <c r="S8" i="37"/>
  <c r="R8" i="37"/>
  <c r="Q8" i="37"/>
  <c r="P8" i="37"/>
  <c r="S7" i="37"/>
  <c r="R7" i="37"/>
  <c r="Q7" i="37"/>
  <c r="P7" i="37"/>
  <c r="S6" i="37"/>
  <c r="R6" i="37"/>
  <c r="Q6" i="37"/>
  <c r="P6" i="37"/>
  <c r="S5" i="37"/>
  <c r="R5" i="37"/>
  <c r="Q5" i="37"/>
  <c r="P5" i="37"/>
  <c r="S4" i="37"/>
  <c r="R4" i="37"/>
  <c r="Q4" i="37"/>
  <c r="P4" i="37"/>
  <c r="S20" i="36"/>
  <c r="R20" i="36"/>
  <c r="Q20" i="36"/>
  <c r="P20" i="36"/>
  <c r="S19" i="36"/>
  <c r="R19" i="36"/>
  <c r="Q19" i="36"/>
  <c r="P19" i="36"/>
  <c r="S18" i="36"/>
  <c r="R18" i="36"/>
  <c r="Q18" i="36"/>
  <c r="P18" i="36"/>
  <c r="S17" i="36"/>
  <c r="R17" i="36"/>
  <c r="Q17" i="36"/>
  <c r="P17" i="36"/>
  <c r="S16" i="36"/>
  <c r="R16" i="36"/>
  <c r="Q16" i="36"/>
  <c r="P16" i="36"/>
  <c r="S15" i="36"/>
  <c r="R15" i="36"/>
  <c r="Q15" i="36"/>
  <c r="P15" i="36"/>
  <c r="S14" i="36"/>
  <c r="R14" i="36"/>
  <c r="Q14" i="36"/>
  <c r="P14" i="36"/>
  <c r="S13" i="36"/>
  <c r="R13" i="36"/>
  <c r="Q13" i="36"/>
  <c r="P13" i="36"/>
  <c r="S12" i="36"/>
  <c r="R12" i="36"/>
  <c r="Q12" i="36"/>
  <c r="P12" i="36"/>
  <c r="S11" i="36"/>
  <c r="R11" i="36"/>
  <c r="Q11" i="36"/>
  <c r="P11" i="36"/>
  <c r="S10" i="36"/>
  <c r="R10" i="36"/>
  <c r="Q10" i="36"/>
  <c r="P10" i="36"/>
  <c r="S9" i="36"/>
  <c r="R9" i="36"/>
  <c r="Q9" i="36"/>
  <c r="P9" i="36"/>
  <c r="S8" i="36"/>
  <c r="R8" i="36"/>
  <c r="Q8" i="36"/>
  <c r="P8" i="36"/>
  <c r="S7" i="36"/>
  <c r="R7" i="36"/>
  <c r="Q7" i="36"/>
  <c r="P7" i="36"/>
  <c r="S6" i="36"/>
  <c r="R6" i="36"/>
  <c r="Q6" i="36"/>
  <c r="P6" i="36"/>
  <c r="S5" i="36"/>
  <c r="R5" i="36"/>
  <c r="Q5" i="36"/>
  <c r="P5" i="36"/>
  <c r="S4" i="36"/>
  <c r="R4" i="36"/>
  <c r="Q4" i="36"/>
  <c r="P4" i="36"/>
  <c r="S21" i="35"/>
  <c r="Q21" i="35"/>
  <c r="P21" i="35"/>
  <c r="S20" i="35"/>
  <c r="R20" i="35"/>
  <c r="Q20" i="35"/>
  <c r="P20" i="35"/>
  <c r="S19" i="35"/>
  <c r="R19" i="35"/>
  <c r="Q19" i="35"/>
  <c r="P19" i="35"/>
  <c r="S18" i="35"/>
  <c r="R18" i="35"/>
  <c r="Q18" i="35"/>
  <c r="P18" i="35"/>
  <c r="S17" i="35"/>
  <c r="R17" i="35"/>
  <c r="Q17" i="35"/>
  <c r="P17" i="35"/>
  <c r="S16" i="35"/>
  <c r="R16" i="35"/>
  <c r="Q16" i="35"/>
  <c r="P16" i="35"/>
  <c r="S15" i="35"/>
  <c r="R15" i="35"/>
  <c r="Q15" i="35"/>
  <c r="P15" i="35"/>
  <c r="S14" i="35"/>
  <c r="R14" i="35"/>
  <c r="Q14" i="35"/>
  <c r="P14" i="35"/>
  <c r="S13" i="35"/>
  <c r="R13" i="35"/>
  <c r="Q13" i="35"/>
  <c r="P13" i="35"/>
  <c r="S12" i="35"/>
  <c r="R12" i="35"/>
  <c r="Q12" i="35"/>
  <c r="P12" i="35"/>
  <c r="S11" i="35"/>
  <c r="R11" i="35"/>
  <c r="Q11" i="35"/>
  <c r="P11" i="35"/>
  <c r="S10" i="35"/>
  <c r="R10" i="35"/>
  <c r="Q10" i="35"/>
  <c r="P10" i="35"/>
  <c r="S9" i="35"/>
  <c r="R9" i="35"/>
  <c r="Q9" i="35"/>
  <c r="P9" i="35"/>
  <c r="S8" i="35"/>
  <c r="R8" i="35"/>
  <c r="Q8" i="35"/>
  <c r="P8" i="35"/>
  <c r="S7" i="35"/>
  <c r="R7" i="35"/>
  <c r="Q7" i="35"/>
  <c r="P7" i="35"/>
  <c r="S6" i="35"/>
  <c r="R6" i="35"/>
  <c r="Q6" i="35"/>
  <c r="P6" i="35"/>
  <c r="S5" i="35"/>
  <c r="R5" i="35"/>
  <c r="Q5" i="35"/>
  <c r="P5" i="35"/>
  <c r="S4" i="35"/>
  <c r="R4" i="35"/>
  <c r="Q4" i="35"/>
  <c r="S21" i="34"/>
  <c r="R21" i="34"/>
  <c r="Q21" i="34"/>
  <c r="P21" i="34"/>
  <c r="S20" i="34"/>
  <c r="R20" i="34"/>
  <c r="Q20" i="34"/>
  <c r="P20" i="34"/>
  <c r="S19" i="34"/>
  <c r="R19" i="34"/>
  <c r="Q19" i="34"/>
  <c r="P19" i="34"/>
  <c r="S18" i="34"/>
  <c r="R18" i="34"/>
  <c r="Q18" i="34"/>
  <c r="P18" i="34"/>
  <c r="S17" i="34"/>
  <c r="R17" i="34"/>
  <c r="Q17" i="34"/>
  <c r="P17" i="34"/>
  <c r="S16" i="34"/>
  <c r="R16" i="34"/>
  <c r="Q16" i="34"/>
  <c r="P16" i="34"/>
  <c r="S15" i="34"/>
  <c r="R15" i="34"/>
  <c r="Q15" i="34"/>
  <c r="P15" i="34"/>
  <c r="S14" i="34"/>
  <c r="R14" i="34"/>
  <c r="Q14" i="34"/>
  <c r="P14" i="34"/>
  <c r="S13" i="34"/>
  <c r="R13" i="34"/>
  <c r="Q13" i="34"/>
  <c r="P13" i="34"/>
  <c r="S12" i="34"/>
  <c r="R12" i="34"/>
  <c r="Q12" i="34"/>
  <c r="P12" i="34"/>
  <c r="S11" i="34"/>
  <c r="R11" i="34"/>
  <c r="Q11" i="34"/>
  <c r="P11" i="34"/>
  <c r="S10" i="34"/>
  <c r="R10" i="34"/>
  <c r="Q10" i="34"/>
  <c r="P10" i="34"/>
  <c r="S9" i="34"/>
  <c r="R9" i="34"/>
  <c r="Q9" i="34"/>
  <c r="P9" i="34"/>
  <c r="S8" i="34"/>
  <c r="R8" i="34"/>
  <c r="Q8" i="34"/>
  <c r="S7" i="34"/>
  <c r="R7" i="34"/>
  <c r="Q7" i="34"/>
  <c r="P7" i="34"/>
  <c r="S6" i="34"/>
  <c r="R6" i="34"/>
  <c r="Q6" i="34"/>
  <c r="R5" i="34"/>
  <c r="Q5" i="34"/>
  <c r="P5" i="34"/>
  <c r="S4" i="34"/>
  <c r="R4" i="34"/>
  <c r="Q4" i="34"/>
  <c r="P4" i="34"/>
  <c r="S21" i="33"/>
  <c r="R21" i="33"/>
  <c r="Q21" i="33"/>
  <c r="P21" i="33"/>
  <c r="S20" i="33"/>
  <c r="R20" i="33"/>
  <c r="Q20" i="33"/>
  <c r="P20" i="33"/>
  <c r="S19" i="33"/>
  <c r="R19" i="33"/>
  <c r="Q19" i="33"/>
  <c r="P19" i="33"/>
  <c r="S18" i="33"/>
  <c r="R18" i="33"/>
  <c r="Q18" i="33"/>
  <c r="P18" i="33"/>
  <c r="S17" i="33"/>
  <c r="R17" i="33"/>
  <c r="Q17" i="33"/>
  <c r="P17" i="33"/>
  <c r="S16" i="33"/>
  <c r="R16" i="33"/>
  <c r="Q16" i="33"/>
  <c r="P16" i="33"/>
  <c r="S15" i="33"/>
  <c r="R15" i="33"/>
  <c r="Q15" i="33"/>
  <c r="P15" i="33"/>
  <c r="S14" i="33"/>
  <c r="R14" i="33"/>
  <c r="Q14" i="33"/>
  <c r="P14" i="33"/>
  <c r="S13" i="33"/>
  <c r="R13" i="33"/>
  <c r="Q13" i="33"/>
  <c r="P13" i="33"/>
  <c r="S12" i="33"/>
  <c r="R12" i="33"/>
  <c r="Q12" i="33"/>
  <c r="P12" i="33"/>
  <c r="S11" i="33"/>
  <c r="R11" i="33"/>
  <c r="Q11" i="33"/>
  <c r="P11" i="33"/>
  <c r="S10" i="33"/>
  <c r="R10" i="33"/>
  <c r="Q10" i="33"/>
  <c r="P10" i="33"/>
  <c r="S9" i="33"/>
  <c r="R9" i="33"/>
  <c r="Q9" i="33"/>
  <c r="P9" i="33"/>
  <c r="S8" i="33"/>
  <c r="R8" i="33"/>
  <c r="Q8" i="33"/>
  <c r="P8" i="33"/>
  <c r="S7" i="33"/>
  <c r="R7" i="33"/>
  <c r="Q7" i="33"/>
  <c r="P7" i="33"/>
  <c r="S6" i="33"/>
  <c r="R6" i="33"/>
  <c r="Q6" i="33"/>
  <c r="P6" i="33"/>
  <c r="S5" i="33"/>
  <c r="R5" i="33"/>
  <c r="Q5" i="33"/>
  <c r="P5" i="33"/>
  <c r="S4" i="33"/>
  <c r="R4" i="33"/>
  <c r="Q4" i="33"/>
  <c r="P4" i="33"/>
  <c r="O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C56" authorId="0" shapeId="0" xr:uid="{00000000-0006-0000-1100-000001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24h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L44" authorId="0" shapeId="0" xr:uid="{00000000-0006-0000-1700-000001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Congée du 07/09/25 au 26/09/25</t>
        </r>
      </text>
    </comment>
    <comment ref="L51" authorId="0" shapeId="0" xr:uid="{00000000-0006-0000-1700-000002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du 08 AU 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AG21" authorId="0" shapeId="0" xr:uid="{00000000-0006-0000-1800-000001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du 08 AU 18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T8" authorId="0" shapeId="0" xr:uid="{00000000-0006-0000-1900-000001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CONGEE DU 24 AU 10/01/26</t>
        </r>
      </text>
    </comment>
    <comment ref="F28" authorId="0" shapeId="0" xr:uid="{00000000-0006-0000-1900-000002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O,SOUMIA CONGEE</t>
        </r>
      </text>
    </comment>
    <comment ref="F29" authorId="0" shapeId="0" xr:uid="{00000000-0006-0000-1900-000003000000}">
      <text>
        <r>
          <rPr>
            <b/>
            <sz val="9"/>
            <rFont val="Tahoma"/>
            <charset val="134"/>
          </rPr>
          <t>Oussama Mahdjate:</t>
        </r>
        <r>
          <rPr>
            <sz val="9"/>
            <rFont val="Tahoma"/>
            <charset val="134"/>
          </rPr>
          <t xml:space="preserve">
SOUMIA CONGEE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T8" authorId="0" shapeId="0" xr:uid="{00000000-0006-0000-1A00-000001000000}">
      <text>
        <r>
          <rPr>
            <b/>
            <sz val="9"/>
            <rFont val="Tahoma"/>
            <charset val="1"/>
          </rPr>
          <t>Oussama Mahdjate:</t>
        </r>
        <r>
          <rPr>
            <sz val="9"/>
            <rFont val="Tahoma"/>
            <charset val="1"/>
          </rPr>
          <t xml:space="preserve">
COGEE DU 01 AU 10</t>
        </r>
      </text>
    </comment>
    <comment ref="T13" authorId="0" shapeId="0" xr:uid="{00000000-0006-0000-1A00-000002000000}">
      <text>
        <r>
          <rPr>
            <b/>
            <sz val="9"/>
            <rFont val="Tahoma"/>
            <charset val="1"/>
          </rPr>
          <t>Oussama Mahdjate:</t>
        </r>
        <r>
          <rPr>
            <sz val="9"/>
            <rFont val="Tahoma"/>
            <charset val="1"/>
          </rPr>
          <t xml:space="preserve">
DU 10/12 AU 10/01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T8" authorId="0" shapeId="0" xr:uid="{00000000-0006-0000-1B00-000001000000}">
      <text>
        <r>
          <rPr>
            <b/>
            <sz val="9"/>
            <rFont val="Tahoma"/>
            <charset val="1"/>
          </rPr>
          <t>Oussama Mahdjate:</t>
        </r>
        <r>
          <rPr>
            <sz val="9"/>
            <rFont val="Tahoma"/>
            <charset val="1"/>
          </rPr>
          <t xml:space="preserve">
COGEE DU 01 AU 10</t>
        </r>
      </text>
    </comment>
    <comment ref="T13" authorId="0" shapeId="0" xr:uid="{00000000-0006-0000-1B00-000002000000}">
      <text>
        <r>
          <rPr>
            <b/>
            <sz val="9"/>
            <rFont val="Tahoma"/>
            <charset val="1"/>
          </rPr>
          <t>Oussama Mahdjate:</t>
        </r>
        <r>
          <rPr>
            <sz val="9"/>
            <rFont val="Tahoma"/>
            <charset val="1"/>
          </rPr>
          <t xml:space="preserve">
DU 10/12 AU 10/01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Oussama Mahdjate</author>
  </authors>
  <commentList>
    <comment ref="H10" authorId="0" shapeId="0" xr:uid="{E517244B-4D93-47FF-844D-17F7B91AA344}">
      <text>
        <r>
          <rPr>
            <b/>
            <sz val="9"/>
            <color indexed="81"/>
            <rFont val="Tahoma"/>
            <charset val="1"/>
          </rPr>
          <t>Oussama Mahdjate:</t>
        </r>
        <r>
          <rPr>
            <sz val="9"/>
            <color indexed="81"/>
            <rFont val="Tahoma"/>
            <charset val="1"/>
          </rPr>
          <t xml:space="preserve">
16H GYN
</t>
        </r>
      </text>
    </comment>
  </commentList>
</comments>
</file>

<file path=xl/sharedStrings.xml><?xml version="1.0" encoding="utf-8"?>
<sst xmlns="http://schemas.openxmlformats.org/spreadsheetml/2006/main" count="10116" uniqueCount="714">
  <si>
    <t>Clinique alouia</t>
  </si>
  <si>
    <t>liste de garde des instrumentiste mois d'octobre</t>
  </si>
  <si>
    <t>DATE</t>
  </si>
  <si>
    <t>JOUR 8H / 16H</t>
  </si>
  <si>
    <t>Nuit</t>
  </si>
  <si>
    <t>mat</t>
  </si>
  <si>
    <t>chir</t>
  </si>
  <si>
    <t>salle 4</t>
  </si>
  <si>
    <t>salle 1</t>
  </si>
  <si>
    <t>salle2</t>
  </si>
  <si>
    <t>salle 3</t>
  </si>
  <si>
    <t>sara/</t>
  </si>
  <si>
    <t>Mohamed</t>
  </si>
  <si>
    <t xml:space="preserve">brahim  </t>
  </si>
  <si>
    <t>hichem</t>
  </si>
  <si>
    <t>sihem</t>
  </si>
  <si>
    <t>sara/sihem</t>
  </si>
  <si>
    <t>yasmine</t>
  </si>
  <si>
    <t>sihem k</t>
  </si>
  <si>
    <t>sara/yasmine</t>
  </si>
  <si>
    <t>moussa</t>
  </si>
  <si>
    <t>nassima</t>
  </si>
  <si>
    <t>sara/nassima</t>
  </si>
  <si>
    <t>sara</t>
  </si>
  <si>
    <t>SIHEM Z</t>
  </si>
  <si>
    <t>HICHEM A</t>
  </si>
  <si>
    <t>hichem A</t>
  </si>
  <si>
    <t>sihem z</t>
  </si>
  <si>
    <t>sara/sihem z</t>
  </si>
  <si>
    <t>brahim</t>
  </si>
  <si>
    <t xml:space="preserve">yasmine </t>
  </si>
  <si>
    <t>samira</t>
  </si>
  <si>
    <t>MOUSSA</t>
  </si>
  <si>
    <t>sarah</t>
  </si>
  <si>
    <t>YASMINE</t>
  </si>
  <si>
    <t>hicham m</t>
  </si>
  <si>
    <t>/sihem k</t>
  </si>
  <si>
    <t>HICHEM m</t>
  </si>
  <si>
    <t>liste de garde des instrumentiste mois de novembre</t>
  </si>
  <si>
    <t>date</t>
  </si>
  <si>
    <t>Journalier     08 h     16 h</t>
  </si>
  <si>
    <t xml:space="preserve">yasmine  </t>
  </si>
  <si>
    <t>mohamed</t>
  </si>
  <si>
    <t>rachi nadj</t>
  </si>
  <si>
    <t>lakhder</t>
  </si>
  <si>
    <t>abd kader</t>
  </si>
  <si>
    <t xml:space="preserve">sihem z </t>
  </si>
  <si>
    <t xml:space="preserve"> sihem z</t>
  </si>
  <si>
    <t>abd kader  yasmine</t>
  </si>
  <si>
    <t>KADER</t>
  </si>
  <si>
    <t>lina</t>
  </si>
  <si>
    <t>hichem lina</t>
  </si>
  <si>
    <t>Liste de garde des instrumentiste mois de décembre</t>
  </si>
  <si>
    <t>sara/nass</t>
  </si>
  <si>
    <t xml:space="preserve">nassima </t>
  </si>
  <si>
    <t>lina yass</t>
  </si>
  <si>
    <t>yassmine</t>
  </si>
  <si>
    <t>hichem/nassima</t>
  </si>
  <si>
    <t xml:space="preserve"> sara/sih</t>
  </si>
  <si>
    <t>hicham lina</t>
  </si>
  <si>
    <t>siham</t>
  </si>
  <si>
    <t xml:space="preserve">hicham </t>
  </si>
  <si>
    <t>sara/yass</t>
  </si>
  <si>
    <t>hicham</t>
  </si>
  <si>
    <t xml:space="preserve">lina </t>
  </si>
  <si>
    <t>hichem / yassmine</t>
  </si>
  <si>
    <t>sara/sih</t>
  </si>
  <si>
    <t>Yasmine</t>
  </si>
  <si>
    <t>yass/nass</t>
  </si>
  <si>
    <t>samedi 31 decembre 2022</t>
  </si>
  <si>
    <t>Liste de garde des instrumentiste mois de mars</t>
  </si>
  <si>
    <t>sara/yas</t>
  </si>
  <si>
    <t>SARA</t>
  </si>
  <si>
    <t>NASSIMA</t>
  </si>
  <si>
    <t>yamine</t>
  </si>
  <si>
    <t>nassima / hicham / azza h</t>
  </si>
  <si>
    <t>azza h</t>
  </si>
  <si>
    <t>yasmine / hicham</t>
  </si>
  <si>
    <t>nassima/hicham/brahim</t>
  </si>
  <si>
    <t>Liste de garde des instrumentiste mois de janvier</t>
  </si>
  <si>
    <t xml:space="preserve"> yasmine</t>
  </si>
  <si>
    <t>sara/ yass</t>
  </si>
  <si>
    <t xml:space="preserve"> sara</t>
  </si>
  <si>
    <t xml:space="preserve"> nassima</t>
  </si>
  <si>
    <t xml:space="preserve"> sara/nass</t>
  </si>
  <si>
    <t>siham/nass</t>
  </si>
  <si>
    <t>hichem / yasmine</t>
  </si>
  <si>
    <t>Liste de garde des instrumentiste mois de février</t>
  </si>
  <si>
    <t>hicham/lina</t>
  </si>
  <si>
    <t>hicham /lina</t>
  </si>
  <si>
    <t>nass/yass</t>
  </si>
  <si>
    <t>yass/hich</t>
  </si>
  <si>
    <t>Liste de garde des instrumentiste mois de avrilz</t>
  </si>
  <si>
    <t>yass</t>
  </si>
  <si>
    <t xml:space="preserve">sara </t>
  </si>
  <si>
    <t xml:space="preserve"> </t>
  </si>
  <si>
    <t>liste de garde des instrumentiste mois de mai 2023</t>
  </si>
  <si>
    <t>salle 3/4</t>
  </si>
  <si>
    <t>soum/yass</t>
  </si>
  <si>
    <t>hicham/sara</t>
  </si>
  <si>
    <t>soum/nassi</t>
  </si>
  <si>
    <t>ouss</t>
  </si>
  <si>
    <t>hicham /sara</t>
  </si>
  <si>
    <t>vendredi 5mai 2023</t>
  </si>
  <si>
    <t>vendredi 12 mai 2023</t>
  </si>
  <si>
    <t>azza</t>
  </si>
  <si>
    <t xml:space="preserve"> mohamed</t>
  </si>
  <si>
    <t>vendredi 19 mai 2023</t>
  </si>
  <si>
    <t>oussama / hamza</t>
  </si>
  <si>
    <t>hamza</t>
  </si>
  <si>
    <t>soumia</t>
  </si>
  <si>
    <t>soumia / hichem / hamza</t>
  </si>
  <si>
    <t>ouss/hicham</t>
  </si>
  <si>
    <t>jour 08h16h</t>
  </si>
  <si>
    <t>nuit 16h08</t>
  </si>
  <si>
    <t>jour 08h16</t>
  </si>
  <si>
    <t xml:space="preserve">ouhal soumia </t>
  </si>
  <si>
    <t>oussama mebarki</t>
  </si>
  <si>
    <t>yassmine mousaoui</t>
  </si>
  <si>
    <t xml:space="preserve">hamza </t>
  </si>
  <si>
    <t xml:space="preserve">nassima zermani </t>
  </si>
  <si>
    <t xml:space="preserve">sara zarzi </t>
  </si>
  <si>
    <t xml:space="preserve">hicham menasria </t>
  </si>
  <si>
    <t>01 mai ferier</t>
  </si>
  <si>
    <t xml:space="preserve">bourouhan mohamed </t>
  </si>
  <si>
    <t xml:space="preserve">benbrahim brahim </t>
  </si>
  <si>
    <t xml:space="preserve">azza hicham </t>
  </si>
  <si>
    <t>liste de garde des instrumentiste mois de juin 2024</t>
  </si>
  <si>
    <t>AS</t>
  </si>
  <si>
    <t>rachid</t>
  </si>
  <si>
    <t>rania</t>
  </si>
  <si>
    <t>yas</t>
  </si>
  <si>
    <t>sara hich</t>
  </si>
  <si>
    <t>hich</t>
  </si>
  <si>
    <t>rania/sou</t>
  </si>
  <si>
    <t>yasmine/sou</t>
  </si>
  <si>
    <t>rania rach</t>
  </si>
  <si>
    <t>zinou</t>
  </si>
  <si>
    <t>rania/yas</t>
  </si>
  <si>
    <t>med</t>
  </si>
  <si>
    <t>sara/hich</t>
  </si>
  <si>
    <t>rania/nass</t>
  </si>
  <si>
    <t>nas</t>
  </si>
  <si>
    <t>rach</t>
  </si>
  <si>
    <t>soumia/hich</t>
  </si>
  <si>
    <t>sara/sou</t>
  </si>
  <si>
    <t>hayat</t>
  </si>
  <si>
    <t>nassima zermani/salaire+</t>
  </si>
  <si>
    <t>lokmane</t>
  </si>
  <si>
    <t>15jrs essaie</t>
  </si>
  <si>
    <t>sara zarzi salaire +</t>
  </si>
  <si>
    <t>07+      07as</t>
  </si>
  <si>
    <t>rachid yahiaoui salaire+</t>
  </si>
  <si>
    <t>04as</t>
  </si>
  <si>
    <t>07+      05as</t>
  </si>
  <si>
    <t>zinou manque de 24h mois de mai</t>
  </si>
  <si>
    <t>rania boussaadi</t>
  </si>
  <si>
    <t>24h</t>
  </si>
  <si>
    <t>08h  16h</t>
  </si>
  <si>
    <t>08h   16h</t>
  </si>
  <si>
    <t>16h   8h</t>
  </si>
  <si>
    <t>djamel</t>
  </si>
  <si>
    <t>mouad</t>
  </si>
  <si>
    <t>hocine</t>
  </si>
  <si>
    <t>anis</t>
  </si>
  <si>
    <t>djamel/</t>
  </si>
  <si>
    <t>djamel/24h</t>
  </si>
  <si>
    <t>djamel 24h</t>
  </si>
  <si>
    <t>16h   08h</t>
  </si>
  <si>
    <t>djamel salaire +</t>
  </si>
  <si>
    <t>mouad +</t>
  </si>
  <si>
    <t xml:space="preserve">hocine + </t>
  </si>
  <si>
    <r>
      <rPr>
        <sz val="11"/>
        <color theme="1"/>
        <rFont val="Calibri"/>
        <charset val="134"/>
        <scheme val="minor"/>
      </rPr>
      <t>4 +</t>
    </r>
    <r>
      <rPr>
        <sz val="11"/>
        <color rgb="FFFF0000"/>
        <rFont val="Calibri"/>
        <charset val="134"/>
        <scheme val="minor"/>
      </rPr>
      <t xml:space="preserve"> 01ab</t>
    </r>
  </si>
  <si>
    <t xml:space="preserve">anis + </t>
  </si>
  <si>
    <t>01ab</t>
  </si>
  <si>
    <t>etat de chef de bloc</t>
  </si>
  <si>
    <t>mois de mai salaire + cas /voir avec chirine</t>
  </si>
  <si>
    <t>liste de garde des instrumentiste mois de juillet 2024</t>
  </si>
  <si>
    <t>gyn</t>
  </si>
  <si>
    <t>hayat/sou</t>
  </si>
  <si>
    <t>nassima/sou</t>
  </si>
  <si>
    <t>chemsou</t>
  </si>
  <si>
    <t>sou</t>
  </si>
  <si>
    <t>lokman</t>
  </si>
  <si>
    <t>hayat/nass</t>
  </si>
  <si>
    <t>tchikou</t>
  </si>
  <si>
    <t>nassima/</t>
  </si>
  <si>
    <t>liste de garde et d'astreinte mois de juillet 2024</t>
  </si>
  <si>
    <t>hamza/soumia</t>
  </si>
  <si>
    <t>hamza/sara</t>
  </si>
  <si>
    <t>lok</t>
  </si>
  <si>
    <t>rach/hich</t>
  </si>
  <si>
    <t>lok/med</t>
  </si>
  <si>
    <t>rach/sara</t>
  </si>
  <si>
    <t>hichem/sara</t>
  </si>
  <si>
    <t>med/rach</t>
  </si>
  <si>
    <t>soumia/chemsou</t>
  </si>
  <si>
    <t>sara/djamel</t>
  </si>
  <si>
    <t>tchikou /djamel</t>
  </si>
  <si>
    <t>azza h/sara</t>
  </si>
  <si>
    <t xml:space="preserve">tchikou </t>
  </si>
  <si>
    <t>LOKMANE</t>
  </si>
  <si>
    <t>MED</t>
  </si>
  <si>
    <t>jour 08h  16h</t>
  </si>
  <si>
    <t>nuit 16h   08h</t>
  </si>
  <si>
    <t>ABS</t>
  </si>
  <si>
    <t>OUHAL SOUMIA</t>
  </si>
  <si>
    <t>01+ demi J AB</t>
  </si>
  <si>
    <t>ZERMANI NASSIMA</t>
  </si>
  <si>
    <t>01AS</t>
  </si>
  <si>
    <t>ZARZI SARA</t>
  </si>
  <si>
    <r>
      <rPr>
        <sz val="11"/>
        <color theme="1"/>
        <rFont val="Calibri"/>
        <charset val="134"/>
        <scheme val="minor"/>
      </rPr>
      <t>09+            04</t>
    </r>
    <r>
      <rPr>
        <sz val="11"/>
        <color theme="8"/>
        <rFont val="Calibri"/>
        <charset val="134"/>
        <scheme val="minor"/>
      </rPr>
      <t>AS</t>
    </r>
  </si>
  <si>
    <t>FERGANE HAYAT</t>
  </si>
  <si>
    <t>BOUSSAADI RANIA</t>
  </si>
  <si>
    <t>MENASRIA HICHEM</t>
  </si>
  <si>
    <r>
      <rPr>
        <sz val="11"/>
        <color theme="1"/>
        <rFont val="Calibri"/>
        <charset val="134"/>
        <scheme val="minor"/>
      </rPr>
      <t>03+            03</t>
    </r>
    <r>
      <rPr>
        <sz val="11"/>
        <color theme="8"/>
        <rFont val="Calibri"/>
        <charset val="134"/>
        <scheme val="minor"/>
      </rPr>
      <t>AS</t>
    </r>
  </si>
  <si>
    <t>CONGEE ANUEL</t>
  </si>
  <si>
    <t>BOUROUHANE MOHAMED</t>
  </si>
  <si>
    <r>
      <rPr>
        <sz val="11"/>
        <color theme="1"/>
        <rFont val="Calibri"/>
        <charset val="134"/>
        <scheme val="minor"/>
      </rPr>
      <t xml:space="preserve">                 08</t>
    </r>
    <r>
      <rPr>
        <sz val="11"/>
        <color theme="8"/>
        <rFont val="Calibri"/>
        <charset val="134"/>
        <scheme val="minor"/>
      </rPr>
      <t>AS</t>
    </r>
  </si>
  <si>
    <t>YAHYIAOUI RACHID</t>
  </si>
  <si>
    <r>
      <rPr>
        <sz val="11"/>
        <color theme="1"/>
        <rFont val="Calibri"/>
        <charset val="134"/>
        <scheme val="minor"/>
      </rPr>
      <t xml:space="preserve">                10</t>
    </r>
    <r>
      <rPr>
        <sz val="11"/>
        <color theme="8"/>
        <rFont val="Calibri"/>
        <charset val="134"/>
        <scheme val="minor"/>
      </rPr>
      <t>AS</t>
    </r>
  </si>
  <si>
    <t>MEHARI ZINNEDDINE</t>
  </si>
  <si>
    <t>BELKACEMI HAMZA</t>
  </si>
  <si>
    <r>
      <rPr>
        <sz val="11"/>
        <color theme="1"/>
        <rFont val="Calibri"/>
        <charset val="134"/>
        <scheme val="minor"/>
      </rPr>
      <t>01+            05</t>
    </r>
    <r>
      <rPr>
        <sz val="11"/>
        <color theme="8"/>
        <rFont val="Calibri"/>
        <charset val="134"/>
        <scheme val="minor"/>
      </rPr>
      <t>AS</t>
    </r>
  </si>
  <si>
    <t>CHESEDDINE</t>
  </si>
  <si>
    <r>
      <rPr>
        <sz val="11"/>
        <color theme="1"/>
        <rFont val="Calibri"/>
        <charset val="134"/>
        <scheme val="minor"/>
      </rPr>
      <t>02+           03</t>
    </r>
    <r>
      <rPr>
        <sz val="11"/>
        <color theme="8"/>
        <rFont val="Calibri"/>
        <charset val="134"/>
        <scheme val="minor"/>
      </rPr>
      <t>AS</t>
    </r>
  </si>
  <si>
    <t>TCHIKOU ABD ELLAH</t>
  </si>
  <si>
    <t>AZZA HICHEM</t>
  </si>
  <si>
    <t>liste de garde des instrumentiste mois de aout 2024</t>
  </si>
  <si>
    <t>abd rahman</t>
  </si>
  <si>
    <t>abdrahman</t>
  </si>
  <si>
    <t>haicham</t>
  </si>
  <si>
    <t>zarzi sara congée du 24/08 au 12/09</t>
  </si>
  <si>
    <t>boussaadi rania congée du 19/08 au28/08</t>
  </si>
  <si>
    <t>liste de garde et d'astreinte mois de AOUT 2024</t>
  </si>
  <si>
    <t>tchikou/djamel</t>
  </si>
  <si>
    <t>zinou/tchikou</t>
  </si>
  <si>
    <t>lokmane/hayat</t>
  </si>
  <si>
    <t>hmed/chemsou</t>
  </si>
  <si>
    <t>zinou/rania</t>
  </si>
  <si>
    <t>chemsou/djamel</t>
  </si>
  <si>
    <t>zinou/ahmed</t>
  </si>
  <si>
    <t>tchikou/sara</t>
  </si>
  <si>
    <t>hamza/nassima</t>
  </si>
  <si>
    <t>lokmane/soumia</t>
  </si>
  <si>
    <t>tchikou/ahmed</t>
  </si>
  <si>
    <t>djamel/rania</t>
  </si>
  <si>
    <t>hamza/ahmed</t>
  </si>
  <si>
    <t>tchikou/soumia</t>
  </si>
  <si>
    <t>ahmed/hamza</t>
  </si>
  <si>
    <t>djamel/chemsou</t>
  </si>
  <si>
    <t>zinou/chemsou</t>
  </si>
  <si>
    <t>hamza/tchikou</t>
  </si>
  <si>
    <t>lokmane/ahmed</t>
  </si>
  <si>
    <t>hamza/chemsou</t>
  </si>
  <si>
    <t>16h    08</t>
  </si>
  <si>
    <t>remarque</t>
  </si>
  <si>
    <t>zarzi sara                          salaire +</t>
  </si>
  <si>
    <t>02g chir</t>
  </si>
  <si>
    <t>02ab</t>
  </si>
  <si>
    <r>
      <rPr>
        <sz val="11"/>
        <color theme="1"/>
        <rFont val="Calibri"/>
        <charset val="134"/>
        <scheme val="minor"/>
      </rPr>
      <t xml:space="preserve">boussadi rania           </t>
    </r>
    <r>
      <rPr>
        <sz val="11"/>
        <color theme="8" tint="-0.249977111117893"/>
        <rFont val="Calibri"/>
        <charset val="134"/>
        <scheme val="minor"/>
      </rPr>
      <t>salaire gyn</t>
    </r>
  </si>
  <si>
    <t>03g chir</t>
  </si>
  <si>
    <r>
      <rPr>
        <sz val="11"/>
        <color theme="1"/>
        <rFont val="Calibri"/>
        <charset val="134"/>
        <scheme val="minor"/>
      </rPr>
      <t xml:space="preserve">zermani nassima      </t>
    </r>
    <r>
      <rPr>
        <sz val="11"/>
        <color theme="8" tint="-0.249977111117893"/>
        <rFont val="Calibri"/>
        <charset val="134"/>
        <scheme val="minor"/>
      </rPr>
      <t xml:space="preserve">salaire gyn </t>
    </r>
  </si>
  <si>
    <t>07j</t>
  </si>
  <si>
    <r>
      <rPr>
        <sz val="11"/>
        <color theme="1"/>
        <rFont val="Calibri"/>
        <charset val="134"/>
        <scheme val="minor"/>
      </rPr>
      <t xml:space="preserve">fergane hayat            </t>
    </r>
    <r>
      <rPr>
        <sz val="11"/>
        <color theme="8" tint="-0.249977111117893"/>
        <rFont val="Calibri"/>
        <charset val="134"/>
        <scheme val="minor"/>
      </rPr>
      <t>salaire gyn</t>
    </r>
    <r>
      <rPr>
        <sz val="11"/>
        <color theme="1"/>
        <rFont val="Calibri"/>
        <charset val="134"/>
        <scheme val="minor"/>
      </rPr>
      <t xml:space="preserve"> </t>
    </r>
  </si>
  <si>
    <r>
      <rPr>
        <sz val="11"/>
        <color theme="1"/>
        <rFont val="Calibri"/>
        <charset val="134"/>
        <scheme val="minor"/>
      </rPr>
      <t xml:space="preserve">ouhal soumia             </t>
    </r>
    <r>
      <rPr>
        <sz val="11"/>
        <color theme="8" tint="-0.249977111117893"/>
        <rFont val="Calibri"/>
        <charset val="134"/>
        <scheme val="minor"/>
      </rPr>
      <t>salaire gyn</t>
    </r>
  </si>
  <si>
    <t>15j  + 04 24hgyn  + 02g chir</t>
  </si>
  <si>
    <t>bourouhane mohamed salaire+</t>
  </si>
  <si>
    <t>01as</t>
  </si>
  <si>
    <t>menaceria hichem          salaire+</t>
  </si>
  <si>
    <t>01j</t>
  </si>
  <si>
    <t>yahiaoui rachid                salaire+</t>
  </si>
  <si>
    <t>mehari zinnedine</t>
  </si>
  <si>
    <t>05j</t>
  </si>
  <si>
    <t>08g chir</t>
  </si>
  <si>
    <t>belkacemi hamza</t>
  </si>
  <si>
    <t>04j</t>
  </si>
  <si>
    <t>09g chir + 01 g chir mois d' aout</t>
  </si>
  <si>
    <t>tchikou abdellah</t>
  </si>
  <si>
    <t>09g chir</t>
  </si>
  <si>
    <t>guira lokmane</t>
  </si>
  <si>
    <t>02j</t>
  </si>
  <si>
    <t>06g chir</t>
  </si>
  <si>
    <t xml:space="preserve">saadi ahmed </t>
  </si>
  <si>
    <t>bendaoud abdrahmane</t>
  </si>
  <si>
    <t>chemseddine</t>
  </si>
  <si>
    <t>03j</t>
  </si>
  <si>
    <t>05g chir</t>
  </si>
  <si>
    <t xml:space="preserve">bakel djamel </t>
  </si>
  <si>
    <t>liste de garde des instrumentiste mois de septembre 2024</t>
  </si>
  <si>
    <t>abd rah</t>
  </si>
  <si>
    <t>soumia/yas</t>
  </si>
  <si>
    <t>rania/hayat</t>
  </si>
  <si>
    <t>yasmine/</t>
  </si>
  <si>
    <t>hayat/</t>
  </si>
  <si>
    <t>nassima/yas</t>
  </si>
  <si>
    <t>hayat/yas</t>
  </si>
  <si>
    <t>rania/</t>
  </si>
  <si>
    <t>zarzi sara congée du 24 /08 au 12/ 09</t>
  </si>
  <si>
    <t>bourouhane mohamed cogée du 14 / 09 au 04 /10</t>
  </si>
  <si>
    <t>zermani nassima congée du 24/08 au 12/09</t>
  </si>
  <si>
    <t>ouhal soumia maladie du 16/09 au 03/10 /2024</t>
  </si>
  <si>
    <t>liste de garde et d'astreinte mois de SEPTEMBRE 2024</t>
  </si>
  <si>
    <t>ahmed/hayat</t>
  </si>
  <si>
    <t>hicham/rania</t>
  </si>
  <si>
    <t>abdrahmane/yasmine</t>
  </si>
  <si>
    <t>djamel/ahmed</t>
  </si>
  <si>
    <t>hamza/yasmine</t>
  </si>
  <si>
    <t>chemsou/hamza</t>
  </si>
  <si>
    <t>ahmed/zinou</t>
  </si>
  <si>
    <t>hicham/hayat</t>
  </si>
  <si>
    <t>tchikou/rania</t>
  </si>
  <si>
    <t>yas/rachid/med</t>
  </si>
  <si>
    <t>hamza/abd rahman</t>
  </si>
  <si>
    <t>ahmed/yasmine</t>
  </si>
  <si>
    <t>hamza/zinou</t>
  </si>
  <si>
    <t>hicham/nassima</t>
  </si>
  <si>
    <t>sara/rachid</t>
  </si>
  <si>
    <t>djamel/abd rahman</t>
  </si>
  <si>
    <t>hamza/hayat</t>
  </si>
  <si>
    <t>zinou/nassima</t>
  </si>
  <si>
    <t>chemsou/yasmine</t>
  </si>
  <si>
    <t>yas/rachid</t>
  </si>
  <si>
    <t>tchikou/hayat</t>
  </si>
  <si>
    <t>yas/hayat</t>
  </si>
  <si>
    <t>zinou/yasmine</t>
  </si>
  <si>
    <t>16h    08h</t>
  </si>
  <si>
    <t>02g        03as</t>
  </si>
  <si>
    <t>congée</t>
  </si>
  <si>
    <t>03g</t>
  </si>
  <si>
    <t>02g</t>
  </si>
  <si>
    <t>04g</t>
  </si>
  <si>
    <t xml:space="preserve">03g gyn/ 02j/ 02g chir </t>
  </si>
  <si>
    <t>maladie</t>
  </si>
  <si>
    <t xml:space="preserve">                02as</t>
  </si>
  <si>
    <t>04g         01as</t>
  </si>
  <si>
    <t xml:space="preserve">                07as</t>
  </si>
  <si>
    <t>07g</t>
  </si>
  <si>
    <t>08g</t>
  </si>
  <si>
    <t>05g</t>
  </si>
  <si>
    <t>moussaoui yasmine</t>
  </si>
  <si>
    <t>14j</t>
  </si>
  <si>
    <t>05g          06as</t>
  </si>
  <si>
    <t>saadi ahmed</t>
  </si>
  <si>
    <t>06g</t>
  </si>
  <si>
    <t>05g          02as</t>
  </si>
  <si>
    <t>liste de garde des instrumentiste mois de octobre 2024</t>
  </si>
  <si>
    <t>hayat/nas</t>
  </si>
  <si>
    <t>yasmin</t>
  </si>
  <si>
    <t>nass/hay</t>
  </si>
  <si>
    <t>abdou</t>
  </si>
  <si>
    <t>yasm/sou</t>
  </si>
  <si>
    <t>nassi/sou</t>
  </si>
  <si>
    <t>yas/nass</t>
  </si>
  <si>
    <t>nass/yas</t>
  </si>
  <si>
    <t>nass/sou</t>
  </si>
  <si>
    <t>yas/sou</t>
  </si>
  <si>
    <t>liste de garde et d'astreinte mois de octobre 2024</t>
  </si>
  <si>
    <t>chemsou/zinou</t>
  </si>
  <si>
    <t>hamza/abdrahmane</t>
  </si>
  <si>
    <t>yasmine/soumia</t>
  </si>
  <si>
    <t>ahmed/nassima</t>
  </si>
  <si>
    <t>hayat/hamza</t>
  </si>
  <si>
    <t>chemsou/soumia</t>
  </si>
  <si>
    <t>djamel/yasmine</t>
  </si>
  <si>
    <t>zinou/thikou</t>
  </si>
  <si>
    <t>yasmine/hamza</t>
  </si>
  <si>
    <t>yasmine/djamel</t>
  </si>
  <si>
    <t>abdrahmane/nassima</t>
  </si>
  <si>
    <t>hamza/djamel</t>
  </si>
  <si>
    <t>soumia/tchikou</t>
  </si>
  <si>
    <t>abdrahmane/zinou</t>
  </si>
  <si>
    <t>djamel/tchikou</t>
  </si>
  <si>
    <t>zinou/abdrahmane</t>
  </si>
  <si>
    <t>ahmed/abdrahman</t>
  </si>
  <si>
    <t>chemsou/hayat</t>
  </si>
  <si>
    <t>abdrahman/zinou</t>
  </si>
  <si>
    <t>tchikou/yasmine</t>
  </si>
  <si>
    <t>01 AS</t>
  </si>
  <si>
    <t>03 AB</t>
  </si>
  <si>
    <t>06 J</t>
  </si>
  <si>
    <t>06 J             02g gyn24h/03gchir 01AS</t>
  </si>
  <si>
    <t>02 j</t>
  </si>
  <si>
    <t xml:space="preserve">01g gyn24h/ 03chir </t>
  </si>
  <si>
    <r>
      <rPr>
        <sz val="11"/>
        <color theme="1"/>
        <rFont val="Calibri"/>
        <charset val="134"/>
        <scheme val="minor"/>
      </rPr>
      <t xml:space="preserve">                           </t>
    </r>
    <r>
      <rPr>
        <sz val="11"/>
        <color rgb="FFFF0000"/>
        <rFont val="Calibri"/>
        <charset val="134"/>
        <scheme val="minor"/>
      </rPr>
      <t>01g gyn 24h/05chir</t>
    </r>
  </si>
  <si>
    <r>
      <rPr>
        <sz val="11"/>
        <color theme="1"/>
        <rFont val="Calibri"/>
        <charset val="134"/>
        <scheme val="minor"/>
      </rPr>
      <t xml:space="preserve">moussaoui yasmine </t>
    </r>
    <r>
      <rPr>
        <sz val="11"/>
        <color rgb="FF00B0F0"/>
        <rFont val="Calibri"/>
        <charset val="134"/>
        <scheme val="minor"/>
      </rPr>
      <t>salaire gyn</t>
    </r>
  </si>
  <si>
    <t xml:space="preserve">07 j       02g gyn24h/07 chir 02as </t>
  </si>
  <si>
    <t xml:space="preserve">03 as </t>
  </si>
  <si>
    <t>03 ab</t>
  </si>
  <si>
    <t xml:space="preserve">05as </t>
  </si>
  <si>
    <t xml:space="preserve">04 j </t>
  </si>
  <si>
    <t>07chir/01as</t>
  </si>
  <si>
    <t>09chir</t>
  </si>
  <si>
    <t>06chir</t>
  </si>
  <si>
    <t>saadi hmed</t>
  </si>
  <si>
    <t xml:space="preserve">01j </t>
  </si>
  <si>
    <t>04chir</t>
  </si>
  <si>
    <t>liste de garde des instrumentiste mois de novembre 2024</t>
  </si>
  <si>
    <t>gyn/salle05</t>
  </si>
  <si>
    <t>nassima/yasmine</t>
  </si>
  <si>
    <t>hayet</t>
  </si>
  <si>
    <t>rania/faiza</t>
  </si>
  <si>
    <t>yasmine/nass</t>
  </si>
  <si>
    <t>ahmed</t>
  </si>
  <si>
    <t>faiza</t>
  </si>
  <si>
    <t>hayat/faiza</t>
  </si>
  <si>
    <t>HICH</t>
  </si>
  <si>
    <t>nassima/yass</t>
  </si>
  <si>
    <t>hayat/nassima</t>
  </si>
  <si>
    <t>liste de garde et d'astreinte mois de Novembre 2024</t>
  </si>
  <si>
    <t>chemssou</t>
  </si>
  <si>
    <t>C,MALADIE</t>
  </si>
  <si>
    <t>06X24H GYN/02G CHIR</t>
  </si>
  <si>
    <t>01AB 24H GYN</t>
  </si>
  <si>
    <t>9X24H GYN/03G CHIR</t>
  </si>
  <si>
    <t>8J</t>
  </si>
  <si>
    <t>8X24H GYN/04G CHIR</t>
  </si>
  <si>
    <t>6G CHIR /02AS</t>
  </si>
  <si>
    <t>01AB</t>
  </si>
  <si>
    <r>
      <rPr>
        <sz val="11"/>
        <color theme="1"/>
        <rFont val="Calibri"/>
        <charset val="134"/>
        <scheme val="minor"/>
      </rPr>
      <t>moussaoui yasmine</t>
    </r>
    <r>
      <rPr>
        <sz val="11"/>
        <color theme="8" tint="-0.249977111117893"/>
        <rFont val="Calibri"/>
        <charset val="134"/>
        <scheme val="minor"/>
      </rPr>
      <t xml:space="preserve"> salaire gyn</t>
    </r>
  </si>
  <si>
    <t>7X24H GYN/7G CHIR/1AS</t>
  </si>
  <si>
    <t>9J</t>
  </si>
  <si>
    <t>05AS</t>
  </si>
  <si>
    <t>02AB</t>
  </si>
  <si>
    <t>03AB</t>
  </si>
  <si>
    <t>05G CHIR</t>
  </si>
  <si>
    <t>05J</t>
  </si>
  <si>
    <t>10G CHIR</t>
  </si>
  <si>
    <t>06J</t>
  </si>
  <si>
    <t>06G CHIR</t>
  </si>
  <si>
    <t>02J</t>
  </si>
  <si>
    <t>03G CHIR</t>
  </si>
  <si>
    <t>04G CHIR</t>
  </si>
  <si>
    <t>liste de garde des instrumentiste mois de Décembre 2024</t>
  </si>
  <si>
    <t>salle 5</t>
  </si>
  <si>
    <t>FAIZA</t>
  </si>
  <si>
    <t>ABDOU</t>
  </si>
  <si>
    <t>ZINOU</t>
  </si>
  <si>
    <t xml:space="preserve">yasmine/nass </t>
  </si>
  <si>
    <t>nassi</t>
  </si>
  <si>
    <t>yasmine /sou</t>
  </si>
  <si>
    <t>hayet/sou</t>
  </si>
  <si>
    <t>rania/hay</t>
  </si>
  <si>
    <t>yasmine /ran</t>
  </si>
  <si>
    <t xml:space="preserve">yasmine/ran </t>
  </si>
  <si>
    <t>hayet/nass</t>
  </si>
  <si>
    <t>TCHIKOU</t>
  </si>
  <si>
    <t>rania/HAY</t>
  </si>
  <si>
    <t xml:space="preserve">yasmine/sou </t>
  </si>
  <si>
    <t>HAYAT</t>
  </si>
  <si>
    <t>SOU</t>
  </si>
  <si>
    <t>YASS</t>
  </si>
  <si>
    <t>liste de garde et d'astreinte mois de Décembre 2024</t>
  </si>
  <si>
    <t>AHMED</t>
  </si>
  <si>
    <t>CHEMSOU</t>
  </si>
  <si>
    <t>HAMZA</t>
  </si>
  <si>
    <t>RANIA</t>
  </si>
  <si>
    <t>SARAH</t>
  </si>
  <si>
    <t>DJAMEL</t>
  </si>
  <si>
    <t>SOUMIA</t>
  </si>
  <si>
    <t>ADOU</t>
  </si>
  <si>
    <t>SARA / MED</t>
  </si>
  <si>
    <t>HAYET</t>
  </si>
  <si>
    <t>SARA/RACHID</t>
  </si>
  <si>
    <t>HICHEM/RACHID</t>
  </si>
  <si>
    <t>SARA/</t>
  </si>
  <si>
    <t>MOHAMED</t>
  </si>
  <si>
    <t>YASMINE/med</t>
  </si>
  <si>
    <t>liste de garde des instrumentiste mois de Janvier 2025</t>
  </si>
  <si>
    <t>rania/soumia</t>
  </si>
  <si>
    <t>nassima/hayat</t>
  </si>
  <si>
    <t>hayat/yasmine</t>
  </si>
  <si>
    <t>rania/hayt</t>
  </si>
  <si>
    <t>yasmine/rania</t>
  </si>
  <si>
    <t>liste de garde et d'astreinte mois de janvier 2025</t>
  </si>
  <si>
    <t>RACHID</t>
  </si>
  <si>
    <t>HICHEM</t>
  </si>
  <si>
    <t>ysmine</t>
  </si>
  <si>
    <t>16H   08H</t>
  </si>
  <si>
    <t>REMARQUE</t>
  </si>
  <si>
    <t>10 G CHIR</t>
  </si>
  <si>
    <t>05 J / 09G GYN / 02G CHIR</t>
  </si>
  <si>
    <t>08 J / 13G GYN / 4 G CHIR</t>
  </si>
  <si>
    <r>
      <rPr>
        <sz val="11"/>
        <color theme="1"/>
        <rFont val="Calibri"/>
        <charset val="134"/>
        <scheme val="minor"/>
      </rPr>
      <t xml:space="preserve">moussaoui yasmine </t>
    </r>
    <r>
      <rPr>
        <sz val="11"/>
        <color theme="8" tint="-0.249977111117893"/>
        <rFont val="Calibri"/>
        <charset val="134"/>
        <scheme val="minor"/>
      </rPr>
      <t>salaire gyn</t>
    </r>
  </si>
  <si>
    <t>13 J / 08G GYN /14G CHIR</t>
  </si>
  <si>
    <t>02 AS</t>
  </si>
  <si>
    <t>05 G CHIR</t>
  </si>
  <si>
    <t xml:space="preserve">04G CHIR /03AS </t>
  </si>
  <si>
    <t>04J</t>
  </si>
  <si>
    <t>08G CHIR</t>
  </si>
  <si>
    <t>02G CHIR</t>
  </si>
  <si>
    <t xml:space="preserve"> faiza</t>
  </si>
  <si>
    <t>07G CHIR</t>
  </si>
  <si>
    <t>liste de garde des instrumentiste mois de FEVRIER 2025</t>
  </si>
  <si>
    <t>/rania</t>
  </si>
  <si>
    <t>HAYAT/</t>
  </si>
  <si>
    <t>RANIA/hayat</t>
  </si>
  <si>
    <t>YASMINE/rania</t>
  </si>
  <si>
    <r>
      <rPr>
        <b/>
        <sz val="11"/>
        <color theme="1"/>
        <rFont val="Calibri"/>
        <charset val="134"/>
        <scheme val="minor"/>
      </rPr>
      <t>NASSIMA</t>
    </r>
    <r>
      <rPr>
        <b/>
        <sz val="12"/>
        <color theme="1"/>
        <rFont val="Calibri"/>
        <charset val="134"/>
        <scheme val="minor"/>
      </rPr>
      <t>/yass</t>
    </r>
  </si>
  <si>
    <t>RANIA/</t>
  </si>
  <si>
    <r>
      <rPr>
        <b/>
        <sz val="11"/>
        <color theme="1"/>
        <rFont val="Calibri"/>
        <charset val="134"/>
        <scheme val="minor"/>
      </rPr>
      <t>NASSIMA/</t>
    </r>
    <r>
      <rPr>
        <b/>
        <sz val="12"/>
        <color theme="1"/>
        <rFont val="Calibri"/>
        <charset val="134"/>
        <scheme val="minor"/>
      </rPr>
      <t>yass</t>
    </r>
  </si>
  <si>
    <t xml:space="preserve">     HAYAT</t>
  </si>
  <si>
    <t>hayat/yass</t>
  </si>
  <si>
    <t>yasmine/hayat</t>
  </si>
  <si>
    <t>raNIA/nas</t>
  </si>
  <si>
    <t>HAYAT/nass</t>
  </si>
  <si>
    <t xml:space="preserve">      rania/nas</t>
  </si>
  <si>
    <t>hou+hich</t>
  </si>
  <si>
    <t>walid</t>
  </si>
  <si>
    <t>rania/nasima</t>
  </si>
  <si>
    <t>liste de garde et d'astreinte mois de FEVRIER 2025</t>
  </si>
  <si>
    <r>
      <rPr>
        <b/>
        <sz val="8"/>
        <color theme="1"/>
        <rFont val="Calibri"/>
        <charset val="134"/>
        <scheme val="minor"/>
      </rPr>
      <t xml:space="preserve"> /           </t>
    </r>
    <r>
      <rPr>
        <b/>
        <sz val="12"/>
        <color theme="1"/>
        <rFont val="Calibri"/>
        <charset val="134"/>
        <scheme val="minor"/>
      </rPr>
      <t>rania</t>
    </r>
  </si>
  <si>
    <t>hich/rachi</t>
  </si>
  <si>
    <t xml:space="preserve">    NASSIMA</t>
  </si>
  <si>
    <t xml:space="preserve">     NASSIMA</t>
  </si>
  <si>
    <t>WALID</t>
  </si>
  <si>
    <t>HOCINE</t>
  </si>
  <si>
    <t>YASMINE/NASS</t>
  </si>
  <si>
    <t>NASS</t>
  </si>
  <si>
    <t>06g chir/ 01as</t>
  </si>
  <si>
    <t>04j /09g gyn /</t>
  </si>
  <si>
    <t>04j / 04g gyn / 02as</t>
  </si>
  <si>
    <t>08j / 08g gyn / 06g chir</t>
  </si>
  <si>
    <r>
      <rPr>
        <sz val="11"/>
        <color theme="1"/>
        <rFont val="Calibri"/>
        <charset val="134"/>
        <scheme val="minor"/>
      </rPr>
      <t xml:space="preserve">ouhal soumia             </t>
    </r>
    <r>
      <rPr>
        <sz val="11"/>
        <color theme="8" tint="-0.249977111117893"/>
        <rFont val="Calibri"/>
        <charset val="134"/>
        <scheme val="minor"/>
      </rPr>
      <t>salaire+</t>
    </r>
  </si>
  <si>
    <t>07 g chir</t>
  </si>
  <si>
    <t>moussaoui yassmine</t>
  </si>
  <si>
    <t>08j /07g chir /01as</t>
  </si>
  <si>
    <t>05g chir /</t>
  </si>
  <si>
    <t>05ab</t>
  </si>
  <si>
    <t>04g chir/ 04as</t>
  </si>
  <si>
    <t>07g chir</t>
  </si>
  <si>
    <t>moussaoui hocine</t>
  </si>
  <si>
    <t>03g chir 24h</t>
  </si>
  <si>
    <t>liste de garde des instrumentiste mois de MARS 2025</t>
  </si>
  <si>
    <t>NASS/YASS</t>
  </si>
  <si>
    <t>malha</t>
  </si>
  <si>
    <t xml:space="preserve"> HAYAT</t>
  </si>
  <si>
    <t>liste de garde DE NUIT mois de MARS 2025</t>
  </si>
  <si>
    <t>liste de garde des instrumentiste mois de avril 2025</t>
  </si>
  <si>
    <r>
      <rPr>
        <b/>
        <sz val="14"/>
        <color theme="1"/>
        <rFont val="Calibri"/>
        <charset val="134"/>
        <scheme val="minor"/>
      </rPr>
      <t xml:space="preserve">liste de garde instrumentiste </t>
    </r>
    <r>
      <rPr>
        <b/>
        <sz val="14"/>
        <color rgb="FFFF0000"/>
        <rFont val="Calibri"/>
        <charset val="134"/>
        <scheme val="minor"/>
      </rPr>
      <t>gyneco</t>
    </r>
    <r>
      <rPr>
        <b/>
        <sz val="14"/>
        <color theme="1"/>
        <rFont val="Calibri"/>
        <charset val="134"/>
        <scheme val="minor"/>
      </rPr>
      <t xml:space="preserve"> / </t>
    </r>
    <r>
      <rPr>
        <b/>
        <sz val="14"/>
        <color theme="7"/>
        <rFont val="Calibri"/>
        <charset val="134"/>
        <scheme val="minor"/>
      </rPr>
      <t>urgence</t>
    </r>
  </si>
  <si>
    <t>08H   16H</t>
  </si>
  <si>
    <t>16H 08H</t>
  </si>
  <si>
    <t>08H 16H</t>
  </si>
  <si>
    <t>JOURNALIER DE 08H A 16H</t>
  </si>
  <si>
    <t>NUIT DE 16H A 08H</t>
  </si>
  <si>
    <t>16h/22h</t>
  </si>
  <si>
    <t>16h/08h</t>
  </si>
  <si>
    <t>bourouhane</t>
  </si>
  <si>
    <t>16H  08H</t>
  </si>
  <si>
    <t>16H 22H</t>
  </si>
  <si>
    <t>ASTREINTE</t>
  </si>
  <si>
    <r>
      <rPr>
        <sz val="11"/>
        <color theme="1"/>
        <rFont val="Calibri"/>
        <charset val="134"/>
        <scheme val="minor"/>
      </rPr>
      <t xml:space="preserve">ZERMANI NASSIMA      </t>
    </r>
    <r>
      <rPr>
        <b/>
        <sz val="11"/>
        <color theme="1"/>
        <rFont val="Calibri"/>
        <charset val="134"/>
        <scheme val="minor"/>
      </rPr>
      <t>RSG</t>
    </r>
  </si>
  <si>
    <t xml:space="preserve">MOUSSAOUI YASMINE </t>
  </si>
  <si>
    <r>
      <rPr>
        <sz val="11"/>
        <color theme="1"/>
        <rFont val="Calibri"/>
        <charset val="134"/>
        <scheme val="minor"/>
      </rPr>
      <t xml:space="preserve">OUHAL SOUMIA     </t>
    </r>
    <r>
      <rPr>
        <b/>
        <sz val="11"/>
        <color theme="1"/>
        <rFont val="Calibri"/>
        <charset val="134"/>
        <scheme val="minor"/>
      </rPr>
      <t>RSU</t>
    </r>
    <r>
      <rPr>
        <sz val="11"/>
        <color theme="1"/>
        <rFont val="Calibri"/>
        <charset val="134"/>
        <scheme val="minor"/>
      </rPr>
      <t xml:space="preserve">                        salaire</t>
    </r>
  </si>
  <si>
    <t>ZARZI SARAH                                           salaire +</t>
  </si>
  <si>
    <t>BOUROUHANE MOHAMED                salaire+</t>
  </si>
  <si>
    <t>MENACERIA HICHEM                           salaire+</t>
  </si>
  <si>
    <t>YAHIAOUI RACHID                                 salaire+</t>
  </si>
  <si>
    <t>MOUSSAOUI HOCINE</t>
  </si>
  <si>
    <t>TCHIKOU ABDELLAH</t>
  </si>
  <si>
    <t>SAADI AHMED</t>
  </si>
  <si>
    <t>BENDAOUD ABDERAHMANE</t>
  </si>
  <si>
    <t>MAZARI WALID</t>
  </si>
  <si>
    <t>liste de garde des instrumentiste mois de mai 2025</t>
  </si>
  <si>
    <t>soumia as</t>
  </si>
  <si>
    <r>
      <rPr>
        <sz val="11"/>
        <color theme="1"/>
        <rFont val="Calibri"/>
        <charset val="134"/>
        <scheme val="minor"/>
      </rPr>
      <t xml:space="preserve">OUHAL SOUMIA     </t>
    </r>
    <r>
      <rPr>
        <b/>
        <sz val="11"/>
        <color theme="1"/>
        <rFont val="Calibri"/>
        <charset val="134"/>
        <scheme val="minor"/>
      </rPr>
      <t>RSU</t>
    </r>
    <r>
      <rPr>
        <sz val="11"/>
        <color theme="1"/>
        <rFont val="Calibri"/>
        <charset val="134"/>
        <scheme val="minor"/>
      </rPr>
      <t xml:space="preserve">                salaire</t>
    </r>
  </si>
  <si>
    <t>ZARZI SARAH                                   salaire +</t>
  </si>
  <si>
    <t>BOUROUHANE MOHAMED         salaire+</t>
  </si>
  <si>
    <t>MENACERIA HICHEM                    salaire+</t>
  </si>
  <si>
    <t>YAHIAOUI RACHID                         salaire+</t>
  </si>
  <si>
    <t>liste de garde des instrumentiste mois de JUIN 2025</t>
  </si>
  <si>
    <t>HICHAM</t>
  </si>
  <si>
    <t>AMINE</t>
  </si>
  <si>
    <t>TCHIKO</t>
  </si>
  <si>
    <t>REMDANI AMINE</t>
  </si>
  <si>
    <t>liste de garde des instrumentiste mois de juillet 2025</t>
  </si>
  <si>
    <t>nasima/yas</t>
  </si>
  <si>
    <t>yasm/nassi</t>
  </si>
  <si>
    <t>yasm/nasi</t>
  </si>
  <si>
    <t>amine</t>
  </si>
  <si>
    <t>nasima/ran</t>
  </si>
  <si>
    <t>yasmine/na</t>
  </si>
  <si>
    <t>nasima/hay</t>
  </si>
  <si>
    <t>nasima/rani</t>
  </si>
  <si>
    <t>hayat/nasi</t>
  </si>
  <si>
    <t>hayay</t>
  </si>
  <si>
    <t>rania/nassi</t>
  </si>
  <si>
    <t>Ahmed</t>
  </si>
  <si>
    <t>houcine</t>
  </si>
  <si>
    <t>rachid/ami</t>
  </si>
  <si>
    <t>sar/yas</t>
  </si>
  <si>
    <t>soumea</t>
  </si>
  <si>
    <t>liste de garde des instrumentiste mois d'AOUT 2025</t>
  </si>
  <si>
    <t>aout</t>
  </si>
  <si>
    <t>nass/hayat</t>
  </si>
  <si>
    <t>nass/rania</t>
  </si>
  <si>
    <t>nassima/ran</t>
  </si>
  <si>
    <t>naSSIMA</t>
  </si>
  <si>
    <t>HOUCINE</t>
  </si>
  <si>
    <t>sara AS</t>
  </si>
  <si>
    <t>nassi/rania</t>
  </si>
  <si>
    <t>mOHAMED</t>
  </si>
  <si>
    <t>nassi/yasmi</t>
  </si>
  <si>
    <t>moh</t>
  </si>
  <si>
    <t>yASMINE</t>
  </si>
  <si>
    <t>ZERMANI NASSIMA salaire +2g chir</t>
  </si>
  <si>
    <t>7g gyn+3j</t>
  </si>
  <si>
    <t>congee</t>
  </si>
  <si>
    <t>liste de garde des instrumentiste septembre 2025</t>
  </si>
  <si>
    <t>SEPTEMBRE</t>
  </si>
  <si>
    <t>s</t>
  </si>
  <si>
    <t>s1</t>
  </si>
  <si>
    <t>s3</t>
  </si>
  <si>
    <t>s2</t>
  </si>
  <si>
    <t>raouf</t>
  </si>
  <si>
    <t xml:space="preserve">hayat  </t>
  </si>
  <si>
    <t>ZERMANI NASSIMA salaire+</t>
  </si>
  <si>
    <t>3gy/1chir</t>
  </si>
  <si>
    <t>BOUSSAADI RANIA         salaire +</t>
  </si>
  <si>
    <t>MOUSSAOUI YASMINE  salaire+</t>
  </si>
  <si>
    <t>FERGANE HAYAT salaire +</t>
  </si>
  <si>
    <r>
      <rPr>
        <sz val="11"/>
        <color theme="1"/>
        <rFont val="Calibri"/>
        <charset val="134"/>
        <scheme val="minor"/>
      </rPr>
      <t xml:space="preserve">OUHAL SOUMIA     </t>
    </r>
    <r>
      <rPr>
        <b/>
        <sz val="11"/>
        <color theme="1"/>
        <rFont val="Calibri"/>
        <charset val="134"/>
        <scheme val="minor"/>
      </rPr>
      <t>RSU</t>
    </r>
    <r>
      <rPr>
        <sz val="11"/>
        <color theme="1"/>
        <rFont val="Calibri"/>
        <charset val="134"/>
        <scheme val="minor"/>
      </rPr>
      <t xml:space="preserve">                salaire+</t>
    </r>
  </si>
  <si>
    <t>DJAMEL BAKEL                                salaire +</t>
  </si>
  <si>
    <t>liste de garde des instrumentiste octobre 2025</t>
  </si>
  <si>
    <t xml:space="preserve">24H </t>
  </si>
  <si>
    <t>SALLE 6</t>
  </si>
  <si>
    <t>16h/22h AS</t>
  </si>
  <si>
    <r>
      <rPr>
        <b/>
        <sz val="12"/>
        <color theme="1"/>
        <rFont val="Calibri"/>
        <charset val="134"/>
        <scheme val="minor"/>
      </rPr>
      <t>sarah</t>
    </r>
    <r>
      <rPr>
        <sz val="8"/>
        <color theme="1"/>
        <rFont val="Calibri"/>
        <charset val="134"/>
        <scheme val="minor"/>
      </rPr>
      <t>GARDE</t>
    </r>
  </si>
  <si>
    <t xml:space="preserve">ZERMANI NASSIMA </t>
  </si>
  <si>
    <t>CONGEE</t>
  </si>
  <si>
    <r>
      <rPr>
        <b/>
        <sz val="11"/>
        <color theme="1"/>
        <rFont val="Calibri"/>
        <charset val="134"/>
        <scheme val="minor"/>
      </rPr>
      <t>M</t>
    </r>
    <r>
      <rPr>
        <b/>
        <sz val="10"/>
        <color theme="1"/>
        <rFont val="Calibri"/>
        <charset val="134"/>
        <scheme val="minor"/>
      </rPr>
      <t>OHAMED</t>
    </r>
  </si>
  <si>
    <t>YASMIN</t>
  </si>
  <si>
    <t>liste de garde des instrumentiste NOVEMBRE 2025</t>
  </si>
  <si>
    <t xml:space="preserve">08h 16h </t>
  </si>
  <si>
    <t>08h 16h</t>
  </si>
  <si>
    <t xml:space="preserve">16h 22h </t>
  </si>
  <si>
    <t xml:space="preserve">16h 08h </t>
  </si>
  <si>
    <t>08H-16H</t>
  </si>
  <si>
    <t>16H-08H</t>
  </si>
  <si>
    <t>16H-22H AS</t>
  </si>
  <si>
    <t>24H</t>
  </si>
  <si>
    <t>SALLE 1</t>
  </si>
  <si>
    <t>SALLE 2</t>
  </si>
  <si>
    <t>SALLE 3</t>
  </si>
  <si>
    <t>SALLE 4</t>
  </si>
  <si>
    <t>SALLE 5</t>
  </si>
  <si>
    <t>B,MOHAMED</t>
  </si>
  <si>
    <t>Y,RACHID</t>
  </si>
  <si>
    <t>B,HAMZA</t>
  </si>
  <si>
    <t>R,AMINE</t>
  </si>
  <si>
    <t>O,SOUMIA</t>
  </si>
  <si>
    <t>Z,SARAH</t>
  </si>
  <si>
    <t>Z,NASSIMA</t>
  </si>
  <si>
    <t>S1</t>
  </si>
  <si>
    <t>S3</t>
  </si>
  <si>
    <t>M,YASMINE</t>
  </si>
  <si>
    <t>S2</t>
  </si>
  <si>
    <t>M,HICHEM</t>
  </si>
  <si>
    <t>M,RAOUF</t>
  </si>
  <si>
    <t>B,RANIA</t>
  </si>
  <si>
    <t>M,HOUCINE</t>
  </si>
  <si>
    <t>B,DJAMEL</t>
  </si>
  <si>
    <t>F,HAYAT</t>
  </si>
  <si>
    <t>FERGANE HAYAT             salaire +</t>
  </si>
  <si>
    <t xml:space="preserve">Z,SARAH </t>
  </si>
  <si>
    <t xml:space="preserve">M,YASMINE </t>
  </si>
  <si>
    <t>Z,SARAH G</t>
  </si>
  <si>
    <t>B,A/RAHMANE</t>
  </si>
  <si>
    <t>MOUSSAOUI HOUCINE</t>
  </si>
  <si>
    <t>B,ARAHMANE</t>
  </si>
  <si>
    <t>D,NOUR</t>
  </si>
  <si>
    <t>HAY J /SOU N</t>
  </si>
  <si>
    <t>T,ABDELLAH</t>
  </si>
  <si>
    <t>BENDAOUD A/RAHMANE</t>
  </si>
  <si>
    <t>MOFOK RAOUF</t>
  </si>
  <si>
    <t>DOUB NOUR</t>
  </si>
  <si>
    <t>liste de garde des instrumentiste DECEMBRE 2025</t>
  </si>
  <si>
    <t>SALLE 6 24h</t>
  </si>
  <si>
    <t>NOUR</t>
  </si>
  <si>
    <t>ABDERAHMANE</t>
  </si>
  <si>
    <t>RAOUF</t>
  </si>
  <si>
    <t>YASMINE AS</t>
  </si>
  <si>
    <t>liste de garde des instrumentiste JANVIER 2026</t>
  </si>
  <si>
    <t>BOUSSAADI RANIA                      salaire +</t>
  </si>
  <si>
    <t>MOUSSAOUI YASMINE                salaire+</t>
  </si>
  <si>
    <t>FERGANE HAYAT                           salaire +</t>
  </si>
  <si>
    <t>ZARZI SARAH                                  salaire +</t>
  </si>
  <si>
    <t>YAS/SOUM</t>
  </si>
  <si>
    <t>DJAMEL BAKEL                               salaire +</t>
  </si>
  <si>
    <t xml:space="preserve">HOCINE </t>
  </si>
  <si>
    <t xml:space="preserve">NOUR </t>
  </si>
  <si>
    <t>BOUROUHANE MOHAMED        salaire+</t>
  </si>
  <si>
    <t>RA</t>
  </si>
  <si>
    <t>MENACERIA HICHEM                   salaire+</t>
  </si>
  <si>
    <t>YAHIAOUI RACHID                        salaire+</t>
  </si>
  <si>
    <t>DOB NOUR</t>
  </si>
  <si>
    <t>HICH/YAS</t>
  </si>
  <si>
    <t xml:space="preserve">NASSIMA </t>
  </si>
  <si>
    <t xml:space="preserve">RACHID </t>
  </si>
  <si>
    <t>liste de garde des instrumentiste FEVRIER 2026</t>
  </si>
  <si>
    <t xml:space="preserve">MOUSSAOUI  YASMINE </t>
  </si>
  <si>
    <t>OUHAL SOUMIA                            salaire+</t>
  </si>
  <si>
    <t>SALAH</t>
  </si>
  <si>
    <t>liste de garde des instrumentiste MARS 2026</t>
  </si>
  <si>
    <t>SABRINA</t>
  </si>
  <si>
    <t>KHELOUFI SABRINA</t>
  </si>
  <si>
    <t>liste de garde des instrumentiste AVRIL 2026</t>
  </si>
  <si>
    <t>liste de garde des instrumentiste MAI 2026</t>
  </si>
  <si>
    <t>ABDELLAH</t>
  </si>
  <si>
    <t>CHAHIRA</t>
  </si>
  <si>
    <t>BOUALEM</t>
  </si>
  <si>
    <t>liste de garde des instrumentiste JUIN 2026</t>
  </si>
  <si>
    <t>HADIDI CHAHIRA</t>
  </si>
  <si>
    <t>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</si>
</sst>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[$-40C]dddd\ d\ mmmm"/>
  </numFmts>
  <fonts count="4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i/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2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9" tint="0.59999389629810485"/>
      <name val="Calibri"/>
      <charset val="134"/>
      <scheme val="minor"/>
    </font>
    <font>
      <b/>
      <sz val="11"/>
      <color theme="9" tint="0.59999389629810485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color theme="4"/>
      <name val="Calibri"/>
      <charset val="134"/>
      <scheme val="minor"/>
    </font>
    <font>
      <i/>
      <sz val="12"/>
      <name val="Calibri"/>
      <charset val="134"/>
      <scheme val="minor"/>
    </font>
    <font>
      <sz val="13"/>
      <color theme="1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theme="8" tint="-0.249977111117893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7"/>
      <name val="Calibri"/>
      <charset val="134"/>
      <scheme val="minor"/>
    </font>
    <font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ahoma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EFD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6E3FF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40" fillId="0" borderId="0" applyFont="0" applyFill="0" applyBorder="0" applyAlignment="0" applyProtection="0"/>
  </cellStyleXfs>
  <cellXfs count="14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" fontId="4" fillId="4" borderId="6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6" fillId="4" borderId="6" xfId="0" applyFont="1" applyFill="1" applyBorder="1"/>
    <xf numFmtId="0" fontId="3" fillId="5" borderId="2" xfId="0" applyFont="1" applyFill="1" applyBorder="1"/>
    <xf numFmtId="0" fontId="3" fillId="8" borderId="1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5" fontId="5" fillId="9" borderId="15" xfId="0" applyNumberFormat="1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vertical="center"/>
    </xf>
    <xf numFmtId="0" fontId="6" fillId="10" borderId="16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3" fillId="10" borderId="16" xfId="0" applyFont="1" applyFill="1" applyBorder="1" applyAlignment="1">
      <alignment vertical="center"/>
    </xf>
    <xf numFmtId="0" fontId="0" fillId="5" borderId="21" xfId="0" applyFill="1" applyBorder="1"/>
    <xf numFmtId="0" fontId="6" fillId="0" borderId="22" xfId="0" applyFont="1" applyBorder="1" applyAlignment="1">
      <alignment horizontal="center"/>
    </xf>
    <xf numFmtId="0" fontId="6" fillId="10" borderId="2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vertical="center"/>
    </xf>
    <xf numFmtId="0" fontId="6" fillId="10" borderId="22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vertical="center"/>
    </xf>
    <xf numFmtId="0" fontId="6" fillId="10" borderId="22" xfId="0" applyFont="1" applyFill="1" applyBorder="1" applyAlignment="1">
      <alignment vertical="center"/>
    </xf>
    <xf numFmtId="0" fontId="3" fillId="10" borderId="22" xfId="0" applyFont="1" applyFill="1" applyBorder="1" applyAlignment="1">
      <alignment vertical="center"/>
    </xf>
    <xf numFmtId="0" fontId="6" fillId="10" borderId="25" xfId="0" applyFont="1" applyFill="1" applyBorder="1" applyAlignment="1">
      <alignment horizontal="center"/>
    </xf>
    <xf numFmtId="0" fontId="0" fillId="5" borderId="29" xfId="0" applyFill="1" applyBorder="1"/>
    <xf numFmtId="0" fontId="0" fillId="0" borderId="22" xfId="0" applyBorder="1"/>
    <xf numFmtId="0" fontId="0" fillId="11" borderId="30" xfId="0" applyFill="1" applyBorder="1"/>
    <xf numFmtId="0" fontId="0" fillId="11" borderId="31" xfId="0" applyFill="1" applyBorder="1"/>
    <xf numFmtId="0" fontId="6" fillId="0" borderId="22" xfId="0" applyFont="1" applyBorder="1"/>
    <xf numFmtId="0" fontId="0" fillId="11" borderId="21" xfId="0" applyFill="1" applyBorder="1"/>
    <xf numFmtId="0" fontId="6" fillId="8" borderId="24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vertical="center"/>
    </xf>
    <xf numFmtId="0" fontId="3" fillId="12" borderId="22" xfId="0" applyFont="1" applyFill="1" applyBorder="1" applyAlignment="1">
      <alignment vertical="center"/>
    </xf>
    <xf numFmtId="0" fontId="6" fillId="8" borderId="22" xfId="0" applyFont="1" applyFill="1" applyBorder="1" applyAlignment="1">
      <alignment horizontal="center"/>
    </xf>
    <xf numFmtId="0" fontId="0" fillId="11" borderId="29" xfId="0" applyFill="1" applyBorder="1"/>
    <xf numFmtId="0" fontId="3" fillId="8" borderId="9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0" fillId="11" borderId="32" xfId="0" applyFill="1" applyBorder="1"/>
    <xf numFmtId="0" fontId="3" fillId="8" borderId="6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33" xfId="0" applyBorder="1"/>
    <xf numFmtId="0" fontId="0" fillId="0" borderId="9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7" fillId="8" borderId="24" xfId="0" applyFont="1" applyFill="1" applyBorder="1" applyAlignment="1">
      <alignment horizontal="center" vertical="center"/>
    </xf>
    <xf numFmtId="0" fontId="6" fillId="8" borderId="22" xfId="0" applyFont="1" applyFill="1" applyBorder="1"/>
    <xf numFmtId="0" fontId="7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vertical="center"/>
    </xf>
    <xf numFmtId="165" fontId="5" fillId="9" borderId="16" xfId="0" applyNumberFormat="1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vertical="center"/>
    </xf>
    <xf numFmtId="0" fontId="6" fillId="12" borderId="17" xfId="0" applyFont="1" applyFill="1" applyBorder="1" applyAlignment="1">
      <alignment horizontal="center" vertical="center"/>
    </xf>
    <xf numFmtId="0" fontId="6" fillId="12" borderId="44" xfId="0" applyFont="1" applyFill="1" applyBorder="1" applyAlignment="1">
      <alignment horizontal="center" vertical="center"/>
    </xf>
    <xf numFmtId="0" fontId="0" fillId="12" borderId="14" xfId="0" applyFill="1" applyBorder="1"/>
    <xf numFmtId="0" fontId="0" fillId="12" borderId="17" xfId="0" applyFill="1" applyBorder="1"/>
    <xf numFmtId="0" fontId="0" fillId="12" borderId="18" xfId="0" applyFill="1" applyBorder="1"/>
    <xf numFmtId="0" fontId="3" fillId="12" borderId="30" xfId="0" applyFont="1" applyFill="1" applyBorder="1" applyAlignment="1">
      <alignment vertical="center"/>
    </xf>
    <xf numFmtId="0" fontId="3" fillId="12" borderId="16" xfId="0" applyFont="1" applyFill="1" applyBorder="1" applyAlignment="1">
      <alignment vertical="center"/>
    </xf>
    <xf numFmtId="0" fontId="6" fillId="12" borderId="30" xfId="0" applyFont="1" applyFill="1" applyBorder="1" applyAlignment="1">
      <alignment horizontal="center" vertical="center"/>
    </xf>
    <xf numFmtId="0" fontId="6" fillId="12" borderId="30" xfId="0" applyFont="1" applyFill="1" applyBorder="1" applyAlignment="1">
      <alignment vertical="center"/>
    </xf>
    <xf numFmtId="0" fontId="0" fillId="12" borderId="25" xfId="0" applyFill="1" applyBorder="1"/>
    <xf numFmtId="0" fontId="3" fillId="12" borderId="21" xfId="0" applyFont="1" applyFill="1" applyBorder="1" applyAlignment="1">
      <alignment vertical="center"/>
    </xf>
    <xf numFmtId="0" fontId="6" fillId="12" borderId="21" xfId="0" applyFont="1" applyFill="1" applyBorder="1" applyAlignment="1">
      <alignment horizontal="center" vertical="center"/>
    </xf>
    <xf numFmtId="0" fontId="6" fillId="12" borderId="21" xfId="0" applyFont="1" applyFill="1" applyBorder="1" applyAlignment="1">
      <alignment vertical="center"/>
    </xf>
    <xf numFmtId="0" fontId="6" fillId="12" borderId="21" xfId="0" applyFont="1" applyFill="1" applyBorder="1" applyAlignment="1">
      <alignment horizontal="left" vertical="top"/>
    </xf>
    <xf numFmtId="0" fontId="0" fillId="10" borderId="14" xfId="0" applyFill="1" applyBorder="1"/>
    <xf numFmtId="0" fontId="0" fillId="10" borderId="17" xfId="0" applyFill="1" applyBorder="1"/>
    <xf numFmtId="0" fontId="9" fillId="10" borderId="25" xfId="0" applyFont="1" applyFill="1" applyBorder="1"/>
    <xf numFmtId="0" fontId="6" fillId="10" borderId="21" xfId="0" applyFont="1" applyFill="1" applyBorder="1" applyAlignment="1">
      <alignment vertical="center"/>
    </xf>
    <xf numFmtId="0" fontId="9" fillId="10" borderId="21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vertical="center"/>
    </xf>
    <xf numFmtId="0" fontId="9" fillId="10" borderId="18" xfId="0" applyFont="1" applyFill="1" applyBorder="1"/>
    <xf numFmtId="0" fontId="9" fillId="10" borderId="3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vertical="center"/>
    </xf>
    <xf numFmtId="0" fontId="7" fillId="12" borderId="23" xfId="0" applyFont="1" applyFill="1" applyBorder="1" applyAlignment="1">
      <alignment vertical="center"/>
    </xf>
    <xf numFmtId="0" fontId="6" fillId="12" borderId="21" xfId="0" applyFont="1" applyFill="1" applyBorder="1"/>
    <xf numFmtId="0" fontId="7" fillId="8" borderId="23" xfId="0" applyFont="1" applyFill="1" applyBorder="1" applyAlignment="1">
      <alignment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0" fillId="8" borderId="14" xfId="0" applyFill="1" applyBorder="1"/>
    <xf numFmtId="0" fontId="0" fillId="13" borderId="17" xfId="0" applyFill="1" applyBorder="1"/>
    <xf numFmtId="0" fontId="0" fillId="8" borderId="25" xfId="0" applyFill="1" applyBorder="1"/>
    <xf numFmtId="0" fontId="3" fillId="8" borderId="21" xfId="0" applyFont="1" applyFill="1" applyBorder="1" applyAlignment="1">
      <alignment vertical="center"/>
    </xf>
    <xf numFmtId="0" fontId="3" fillId="8" borderId="22" xfId="0" applyFont="1" applyFill="1" applyBorder="1" applyAlignment="1">
      <alignment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vertical="center"/>
    </xf>
    <xf numFmtId="0" fontId="6" fillId="8" borderId="21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46" xfId="0" applyFont="1" applyFill="1" applyBorder="1" applyAlignment="1">
      <alignment horizontal="center" vertical="center"/>
    </xf>
    <xf numFmtId="0" fontId="0" fillId="8" borderId="34" xfId="0" applyFill="1" applyBorder="1"/>
    <xf numFmtId="0" fontId="0" fillId="8" borderId="36" xfId="0" applyFill="1" applyBorder="1"/>
    <xf numFmtId="0" fontId="6" fillId="8" borderId="29" xfId="0" applyFont="1" applyFill="1" applyBorder="1" applyAlignment="1">
      <alignment vertical="center"/>
    </xf>
    <xf numFmtId="0" fontId="3" fillId="8" borderId="37" xfId="0" applyFont="1" applyFill="1" applyBorder="1" applyAlignment="1">
      <alignment vertical="center"/>
    </xf>
    <xf numFmtId="0" fontId="6" fillId="8" borderId="29" xfId="0" applyFont="1" applyFill="1" applyBorder="1" applyAlignment="1">
      <alignment horizontal="center" vertical="center"/>
    </xf>
    <xf numFmtId="0" fontId="7" fillId="13" borderId="14" xfId="0" applyFont="1" applyFill="1" applyBorder="1" applyAlignment="1">
      <alignment vertical="center"/>
    </xf>
    <xf numFmtId="0" fontId="6" fillId="13" borderId="17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horizontal="center" vertical="center"/>
    </xf>
    <xf numFmtId="0" fontId="0" fillId="13" borderId="14" xfId="0" applyFill="1" applyBorder="1"/>
    <xf numFmtId="0" fontId="0" fillId="13" borderId="18" xfId="0" applyFill="1" applyBorder="1"/>
    <xf numFmtId="0" fontId="3" fillId="13" borderId="30" xfId="0" applyFont="1" applyFill="1" applyBorder="1" applyAlignment="1">
      <alignment vertical="center"/>
    </xf>
    <xf numFmtId="0" fontId="3" fillId="13" borderId="16" xfId="0" applyFont="1" applyFill="1" applyBorder="1" applyAlignment="1">
      <alignment vertical="center"/>
    </xf>
    <xf numFmtId="0" fontId="6" fillId="13" borderId="30" xfId="0" applyFont="1" applyFill="1" applyBorder="1" applyAlignment="1">
      <alignment horizontal="center" vertical="center"/>
    </xf>
    <xf numFmtId="0" fontId="6" fillId="13" borderId="30" xfId="0" applyFont="1" applyFill="1" applyBorder="1" applyAlignment="1">
      <alignment vertical="center"/>
    </xf>
    <xf numFmtId="0" fontId="7" fillId="13" borderId="23" xfId="0" applyFont="1" applyFill="1" applyBorder="1" applyAlignment="1">
      <alignment vertical="center"/>
    </xf>
    <xf numFmtId="0" fontId="6" fillId="13" borderId="24" xfId="0" applyFont="1" applyFill="1" applyBorder="1" applyAlignment="1">
      <alignment horizontal="center" vertical="center"/>
    </xf>
    <xf numFmtId="0" fontId="6" fillId="13" borderId="47" xfId="0" applyFont="1" applyFill="1" applyBorder="1" applyAlignment="1">
      <alignment horizontal="center" vertical="center"/>
    </xf>
    <xf numFmtId="0" fontId="0" fillId="13" borderId="23" xfId="0" applyFill="1" applyBorder="1"/>
    <xf numFmtId="0" fontId="0" fillId="13" borderId="24" xfId="0" applyFill="1" applyBorder="1"/>
    <xf numFmtId="0" fontId="0" fillId="13" borderId="25" xfId="0" applyFill="1" applyBorder="1"/>
    <xf numFmtId="0" fontId="3" fillId="13" borderId="21" xfId="0" applyFont="1" applyFill="1" applyBorder="1" applyAlignment="1">
      <alignment vertical="center"/>
    </xf>
    <xf numFmtId="0" fontId="3" fillId="13" borderId="22" xfId="0" applyFont="1" applyFill="1" applyBorder="1" applyAlignment="1">
      <alignment vertical="center"/>
    </xf>
    <xf numFmtId="0" fontId="6" fillId="13" borderId="21" xfId="0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vertical="center"/>
    </xf>
    <xf numFmtId="0" fontId="10" fillId="13" borderId="23" xfId="0" applyFont="1" applyFill="1" applyBorder="1"/>
    <xf numFmtId="0" fontId="11" fillId="13" borderId="21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/>
    </xf>
    <xf numFmtId="0" fontId="3" fillId="13" borderId="27" xfId="0" applyFont="1" applyFill="1" applyBorder="1" applyAlignment="1">
      <alignment vertical="center"/>
    </xf>
    <xf numFmtId="165" fontId="5" fillId="9" borderId="9" xfId="0" applyNumberFormat="1" applyFont="1" applyFill="1" applyBorder="1" applyAlignment="1">
      <alignment horizontal="center" vertical="center"/>
    </xf>
    <xf numFmtId="165" fontId="5" fillId="10" borderId="16" xfId="0" applyNumberFormat="1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vertical="center"/>
    </xf>
    <xf numFmtId="0" fontId="6" fillId="10" borderId="47" xfId="0" applyFont="1" applyFill="1" applyBorder="1" applyAlignment="1">
      <alignment horizontal="center" vertical="center"/>
    </xf>
    <xf numFmtId="0" fontId="0" fillId="10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6" fillId="10" borderId="21" xfId="0" applyFont="1" applyFill="1" applyBorder="1" applyAlignment="1">
      <alignment horizontal="center" vertical="center"/>
    </xf>
    <xf numFmtId="0" fontId="10" fillId="10" borderId="23" xfId="0" applyFont="1" applyFill="1" applyBorder="1"/>
    <xf numFmtId="165" fontId="5" fillId="13" borderId="16" xfId="0" applyNumberFormat="1" applyFont="1" applyFill="1" applyBorder="1" applyAlignment="1">
      <alignment horizontal="center" vertical="center"/>
    </xf>
    <xf numFmtId="0" fontId="6" fillId="10" borderId="21" xfId="0" applyFont="1" applyFill="1" applyBorder="1"/>
    <xf numFmtId="165" fontId="5" fillId="2" borderId="16" xfId="0" applyNumberFormat="1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0" fillId="8" borderId="23" xfId="0" applyFill="1" applyBorder="1"/>
    <xf numFmtId="0" fontId="0" fillId="8" borderId="24" xfId="0" applyFill="1" applyBorder="1"/>
    <xf numFmtId="165" fontId="5" fillId="2" borderId="9" xfId="0" applyNumberFormat="1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10" fillId="8" borderId="38" xfId="0" applyFont="1" applyFill="1" applyBorder="1"/>
    <xf numFmtId="0" fontId="0" fillId="8" borderId="39" xfId="0" applyFill="1" applyBorder="1"/>
    <xf numFmtId="0" fontId="10" fillId="8" borderId="40" xfId="0" applyFont="1" applyFill="1" applyBorder="1"/>
    <xf numFmtId="0" fontId="7" fillId="8" borderId="14" xfId="0" applyFont="1" applyFill="1" applyBorder="1" applyAlignment="1">
      <alignment vertical="center"/>
    </xf>
    <xf numFmtId="0" fontId="6" fillId="8" borderId="18" xfId="0" applyFont="1" applyFill="1" applyBorder="1" applyAlignment="1">
      <alignment horizontal="center" vertical="center"/>
    </xf>
    <xf numFmtId="0" fontId="0" fillId="14" borderId="16" xfId="0" applyFill="1" applyBorder="1"/>
    <xf numFmtId="0" fontId="0" fillId="14" borderId="44" xfId="0" applyFill="1" applyBorder="1"/>
    <xf numFmtId="0" fontId="0" fillId="3" borderId="16" xfId="0" applyFill="1" applyBorder="1"/>
    <xf numFmtId="0" fontId="3" fillId="10" borderId="30" xfId="0" applyFont="1" applyFill="1" applyBorder="1" applyAlignment="1">
      <alignment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vertical="center"/>
    </xf>
    <xf numFmtId="0" fontId="6" fillId="0" borderId="33" xfId="0" applyFont="1" applyBorder="1" applyAlignment="1">
      <alignment horizontal="center"/>
    </xf>
    <xf numFmtId="0" fontId="7" fillId="15" borderId="14" xfId="0" applyFont="1" applyFill="1" applyBorder="1" applyAlignment="1">
      <alignment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0" fillId="15" borderId="22" xfId="0" applyFill="1" applyBorder="1"/>
    <xf numFmtId="0" fontId="0" fillId="15" borderId="44" xfId="0" applyFill="1" applyBorder="1"/>
    <xf numFmtId="0" fontId="0" fillId="3" borderId="22" xfId="0" applyFill="1" applyBorder="1"/>
    <xf numFmtId="0" fontId="3" fillId="15" borderId="21" xfId="0" applyFont="1" applyFill="1" applyBorder="1" applyAlignment="1">
      <alignment vertical="center"/>
    </xf>
    <xf numFmtId="0" fontId="3" fillId="10" borderId="50" xfId="0" applyFont="1" applyFill="1" applyBorder="1" applyAlignment="1">
      <alignment vertical="center"/>
    </xf>
    <xf numFmtId="0" fontId="6" fillId="15" borderId="27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vertical="center"/>
    </xf>
    <xf numFmtId="0" fontId="10" fillId="15" borderId="22" xfId="0" applyFont="1" applyFill="1" applyBorder="1"/>
    <xf numFmtId="0" fontId="10" fillId="3" borderId="22" xfId="0" applyFont="1" applyFill="1" applyBorder="1"/>
    <xf numFmtId="0" fontId="6" fillId="15" borderId="21" xfId="0" applyFont="1" applyFill="1" applyBorder="1" applyAlignment="1">
      <alignment vertical="center"/>
    </xf>
    <xf numFmtId="0" fontId="6" fillId="15" borderId="27" xfId="0" applyFont="1" applyFill="1" applyBorder="1" applyAlignment="1">
      <alignment vertical="center"/>
    </xf>
    <xf numFmtId="0" fontId="0" fillId="5" borderId="27" xfId="0" applyFill="1" applyBorder="1"/>
    <xf numFmtId="0" fontId="0" fillId="14" borderId="22" xfId="0" applyFill="1" applyBorder="1"/>
    <xf numFmtId="0" fontId="6" fillId="10" borderId="27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vertical="center"/>
    </xf>
    <xf numFmtId="0" fontId="0" fillId="5" borderId="42" xfId="0" applyFill="1" applyBorder="1"/>
    <xf numFmtId="0" fontId="6" fillId="0" borderId="37" xfId="0" applyFont="1" applyBorder="1" applyAlignment="1">
      <alignment horizontal="center"/>
    </xf>
    <xf numFmtId="0" fontId="0" fillId="11" borderId="15" xfId="0" applyFill="1" applyBorder="1"/>
    <xf numFmtId="0" fontId="6" fillId="0" borderId="0" xfId="0" applyFont="1"/>
    <xf numFmtId="0" fontId="0" fillId="11" borderId="51" xfId="0" applyFill="1" applyBorder="1"/>
    <xf numFmtId="0" fontId="0" fillId="11" borderId="27" xfId="0" applyFill="1" applyBorder="1"/>
    <xf numFmtId="0" fontId="0" fillId="15" borderId="16" xfId="0" applyFill="1" applyBorder="1"/>
    <xf numFmtId="0" fontId="3" fillId="15" borderId="30" xfId="0" applyFont="1" applyFill="1" applyBorder="1" applyAlignment="1">
      <alignment vertical="center"/>
    </xf>
    <xf numFmtId="0" fontId="10" fillId="14" borderId="22" xfId="0" applyFont="1" applyFill="1" applyBorder="1"/>
    <xf numFmtId="0" fontId="6" fillId="0" borderId="48" xfId="0" applyFont="1" applyBorder="1" applyAlignment="1">
      <alignment horizontal="center"/>
    </xf>
    <xf numFmtId="0" fontId="6" fillId="15" borderId="24" xfId="0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/>
    </xf>
    <xf numFmtId="0" fontId="0" fillId="11" borderId="42" xfId="0" applyFill="1" applyBorder="1"/>
    <xf numFmtId="0" fontId="6" fillId="10" borderId="27" xfId="0" applyFont="1" applyFill="1" applyBorder="1"/>
    <xf numFmtId="0" fontId="6" fillId="15" borderId="9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vertical="center"/>
    </xf>
    <xf numFmtId="0" fontId="6" fillId="15" borderId="4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vertical="center"/>
    </xf>
    <xf numFmtId="0" fontId="6" fillId="15" borderId="42" xfId="0" applyFont="1" applyFill="1" applyBorder="1" applyAlignment="1">
      <alignment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/>
    <xf numFmtId="0" fontId="3" fillId="10" borderId="2" xfId="0" applyFont="1" applyFill="1" applyBorder="1"/>
    <xf numFmtId="0" fontId="6" fillId="3" borderId="14" xfId="0" applyFont="1" applyFill="1" applyBorder="1" applyAlignment="1">
      <alignment horizontal="center"/>
    </xf>
    <xf numFmtId="0" fontId="0" fillId="10" borderId="21" xfId="0" applyFill="1" applyBorder="1"/>
    <xf numFmtId="0" fontId="6" fillId="3" borderId="23" xfId="0" applyFont="1" applyFill="1" applyBorder="1" applyAlignment="1">
      <alignment horizontal="center"/>
    </xf>
    <xf numFmtId="0" fontId="12" fillId="10" borderId="17" xfId="0" applyFont="1" applyFill="1" applyBorder="1" applyAlignment="1">
      <alignment vertical="center"/>
    </xf>
    <xf numFmtId="0" fontId="13" fillId="3" borderId="23" xfId="0" applyFont="1" applyFill="1" applyBorder="1" applyAlignment="1">
      <alignment horizontal="center"/>
    </xf>
    <xf numFmtId="0" fontId="0" fillId="10" borderId="27" xfId="0" applyFill="1" applyBorder="1"/>
    <xf numFmtId="0" fontId="3" fillId="3" borderId="23" xfId="0" applyFont="1" applyFill="1" applyBorder="1" applyAlignment="1">
      <alignment horizontal="center"/>
    </xf>
    <xf numFmtId="0" fontId="0" fillId="16" borderId="42" xfId="0" applyFill="1" applyBorder="1"/>
    <xf numFmtId="0" fontId="12" fillId="8" borderId="17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4" fillId="10" borderId="27" xfId="0" applyFont="1" applyFill="1" applyBorder="1" applyAlignment="1">
      <alignment vertical="center"/>
    </xf>
    <xf numFmtId="0" fontId="7" fillId="3" borderId="23" xfId="0" applyFont="1" applyFill="1" applyBorder="1" applyAlignment="1">
      <alignment horizontal="center"/>
    </xf>
    <xf numFmtId="0" fontId="7" fillId="8" borderId="34" xfId="0" applyFont="1" applyFill="1" applyBorder="1" applyAlignment="1">
      <alignment vertical="center"/>
    </xf>
    <xf numFmtId="0" fontId="3" fillId="10" borderId="42" xfId="0" applyFont="1" applyFill="1" applyBorder="1" applyAlignment="1">
      <alignment vertical="center"/>
    </xf>
    <xf numFmtId="0" fontId="6" fillId="10" borderId="42" xfId="0" applyFont="1" applyFill="1" applyBorder="1" applyAlignment="1">
      <alignment vertical="center"/>
    </xf>
    <xf numFmtId="0" fontId="4" fillId="17" borderId="1" xfId="0" applyFont="1" applyFill="1" applyBorder="1" applyAlignment="1">
      <alignment horizontal="center"/>
    </xf>
    <xf numFmtId="17" fontId="4" fillId="17" borderId="9" xfId="0" applyNumberFormat="1" applyFont="1" applyFill="1" applyBorder="1" applyAlignment="1">
      <alignment horizontal="center"/>
    </xf>
    <xf numFmtId="17" fontId="4" fillId="18" borderId="45" xfId="0" applyNumberFormat="1" applyFont="1" applyFill="1" applyBorder="1" applyAlignment="1">
      <alignment horizontal="center"/>
    </xf>
    <xf numFmtId="0" fontId="3" fillId="17" borderId="34" xfId="0" applyFont="1" applyFill="1" applyBorder="1" applyAlignment="1">
      <alignment horizontal="center" vertical="center"/>
    </xf>
    <xf numFmtId="0" fontId="3" fillId="17" borderId="35" xfId="0" applyFont="1" applyFill="1" applyBorder="1" applyAlignment="1">
      <alignment horizontal="center" vertical="center"/>
    </xf>
    <xf numFmtId="0" fontId="3" fillId="17" borderId="4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9" xfId="0" applyFont="1" applyFill="1" applyBorder="1"/>
    <xf numFmtId="0" fontId="3" fillId="18" borderId="45" xfId="0" applyFont="1" applyFill="1" applyBorder="1"/>
    <xf numFmtId="0" fontId="3" fillId="7" borderId="8" xfId="0" applyFont="1" applyFill="1" applyBorder="1" applyAlignment="1">
      <alignment horizontal="center" vertical="center"/>
    </xf>
    <xf numFmtId="0" fontId="3" fillId="10" borderId="6" xfId="0" applyFont="1" applyFill="1" applyBorder="1"/>
    <xf numFmtId="0" fontId="3" fillId="8" borderId="19" xfId="0" applyFont="1" applyFill="1" applyBorder="1" applyAlignment="1">
      <alignment horizontal="center"/>
    </xf>
    <xf numFmtId="165" fontId="6" fillId="2" borderId="51" xfId="0" applyNumberFormat="1" applyFont="1" applyFill="1" applyBorder="1" applyAlignment="1">
      <alignment horizontal="center" vertical="center"/>
    </xf>
    <xf numFmtId="0" fontId="7" fillId="12" borderId="52" xfId="0" applyFont="1" applyFill="1" applyBorder="1" applyAlignment="1">
      <alignment horizontal="center" vertical="center"/>
    </xf>
    <xf numFmtId="0" fontId="7" fillId="12" borderId="53" xfId="0" applyFont="1" applyFill="1" applyBorder="1" applyAlignment="1">
      <alignment horizontal="center" vertical="center"/>
    </xf>
    <xf numFmtId="0" fontId="7" fillId="12" borderId="54" xfId="0" applyFont="1" applyFill="1" applyBorder="1" applyAlignment="1">
      <alignment horizontal="center" vertical="center"/>
    </xf>
    <xf numFmtId="0" fontId="7" fillId="12" borderId="51" xfId="0" applyFont="1" applyFill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0" fontId="7" fillId="12" borderId="55" xfId="0" applyFont="1" applyFill="1" applyBorder="1" applyAlignment="1">
      <alignment horizontal="center"/>
    </xf>
    <xf numFmtId="0" fontId="7" fillId="12" borderId="56" xfId="0" applyFont="1" applyFill="1" applyBorder="1" applyAlignment="1">
      <alignment horizontal="center" vertical="center"/>
    </xf>
    <xf numFmtId="0" fontId="0" fillId="10" borderId="22" xfId="0" applyFill="1" applyBorder="1"/>
    <xf numFmtId="165" fontId="6" fillId="2" borderId="15" xfId="0" applyNumberFormat="1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/>
    </xf>
    <xf numFmtId="0" fontId="7" fillId="12" borderId="22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/>
    </xf>
    <xf numFmtId="0" fontId="7" fillId="12" borderId="47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/>
    </xf>
    <xf numFmtId="0" fontId="0" fillId="16" borderId="37" xfId="0" applyFill="1" applyBorder="1"/>
    <xf numFmtId="0" fontId="0" fillId="11" borderId="16" xfId="0" applyFill="1" applyBorder="1"/>
    <xf numFmtId="0" fontId="6" fillId="0" borderId="50" xfId="0" applyFont="1" applyBorder="1" applyAlignment="1">
      <alignment horizontal="center"/>
    </xf>
    <xf numFmtId="0" fontId="7" fillId="6" borderId="23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0" fillId="11" borderId="50" xfId="0" applyFill="1" applyBorder="1"/>
    <xf numFmtId="0" fontId="12" fillId="12" borderId="24" xfId="0" applyFont="1" applyFill="1" applyBorder="1" applyAlignment="1">
      <alignment horizontal="center" vertical="center"/>
    </xf>
    <xf numFmtId="0" fontId="0" fillId="11" borderId="22" xfId="0" applyFill="1" applyBorder="1"/>
    <xf numFmtId="0" fontId="7" fillId="6" borderId="28" xfId="0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0" fontId="0" fillId="11" borderId="10" xfId="0" applyFill="1" applyBorder="1"/>
    <xf numFmtId="0" fontId="3" fillId="8" borderId="10" xfId="0" applyFont="1" applyFill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12" borderId="22" xfId="0" applyFont="1" applyFill="1" applyBorder="1" applyAlignment="1">
      <alignment horizontal="center"/>
    </xf>
    <xf numFmtId="0" fontId="7" fillId="12" borderId="23" xfId="0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/>
    </xf>
    <xf numFmtId="0" fontId="17" fillId="8" borderId="37" xfId="0" applyFont="1" applyFill="1" applyBorder="1" applyAlignment="1">
      <alignment horizontal="center"/>
    </xf>
    <xf numFmtId="0" fontId="17" fillId="8" borderId="43" xfId="0" applyFont="1" applyFill="1" applyBorder="1" applyAlignment="1">
      <alignment horizontal="center"/>
    </xf>
    <xf numFmtId="0" fontId="7" fillId="8" borderId="57" xfId="0" applyFont="1" applyFill="1" applyBorder="1" applyAlignment="1">
      <alignment vertical="center"/>
    </xf>
    <xf numFmtId="0" fontId="4" fillId="18" borderId="6" xfId="0" applyFont="1" applyFill="1" applyBorder="1" applyAlignment="1">
      <alignment horizontal="center" vertical="center"/>
    </xf>
    <xf numFmtId="17" fontId="4" fillId="18" borderId="6" xfId="0" applyNumberFormat="1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8" borderId="34" xfId="0" applyFont="1" applyFill="1" applyBorder="1"/>
    <xf numFmtId="0" fontId="3" fillId="18" borderId="36" xfId="0" applyFont="1" applyFill="1" applyBorder="1"/>
    <xf numFmtId="0" fontId="7" fillId="7" borderId="9" xfId="0" applyFont="1" applyFill="1" applyBorder="1"/>
    <xf numFmtId="0" fontId="3" fillId="7" borderId="9" xfId="0" applyFont="1" applyFill="1" applyBorder="1" applyAlignment="1">
      <alignment horizontal="center"/>
    </xf>
    <xf numFmtId="0" fontId="6" fillId="7" borderId="45" xfId="0" applyFont="1" applyFill="1" applyBorder="1" applyAlignment="1">
      <alignment horizontal="center"/>
    </xf>
    <xf numFmtId="164" fontId="5" fillId="2" borderId="15" xfId="0" applyNumberFormat="1" applyFont="1" applyFill="1" applyBorder="1" applyAlignment="1">
      <alignment vertical="center"/>
    </xf>
    <xf numFmtId="0" fontId="6" fillId="8" borderId="20" xfId="0" applyFont="1" applyFill="1" applyBorder="1" applyAlignment="1">
      <alignment horizontal="center"/>
    </xf>
    <xf numFmtId="0" fontId="0" fillId="8" borderId="18" xfId="0" applyFill="1" applyBorder="1"/>
    <xf numFmtId="0" fontId="3" fillId="10" borderId="31" xfId="0" applyFont="1" applyFill="1" applyBorder="1" applyAlignment="1">
      <alignment vertical="center"/>
    </xf>
    <xf numFmtId="0" fontId="6" fillId="10" borderId="51" xfId="0" applyFont="1" applyFill="1" applyBorder="1" applyAlignment="1">
      <alignment vertical="center"/>
    </xf>
    <xf numFmtId="0" fontId="6" fillId="3" borderId="34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3" fillId="10" borderId="1" xfId="0" applyFont="1" applyFill="1" applyBorder="1"/>
    <xf numFmtId="0" fontId="0" fillId="10" borderId="3" xfId="0" applyFill="1" applyBorder="1"/>
    <xf numFmtId="0" fontId="3" fillId="8" borderId="14" xfId="0" applyFont="1" applyFill="1" applyBorder="1"/>
    <xf numFmtId="0" fontId="3" fillId="8" borderId="44" xfId="0" applyFont="1" applyFill="1" applyBorder="1"/>
    <xf numFmtId="0" fontId="0" fillId="0" borderId="17" xfId="0" applyBorder="1"/>
    <xf numFmtId="0" fontId="0" fillId="0" borderId="18" xfId="0" applyBorder="1"/>
    <xf numFmtId="0" fontId="0" fillId="0" borderId="16" xfId="0" applyBorder="1" applyAlignment="1">
      <alignment horizontal="center"/>
    </xf>
    <xf numFmtId="0" fontId="6" fillId="17" borderId="23" xfId="0" applyFont="1" applyFill="1" applyBorder="1" applyAlignment="1">
      <alignment vertical="center"/>
    </xf>
    <xf numFmtId="0" fontId="6" fillId="17" borderId="24" xfId="0" applyFont="1" applyFill="1" applyBorder="1" applyAlignment="1">
      <alignment horizontal="center" vertical="center"/>
    </xf>
    <xf numFmtId="0" fontId="6" fillId="17" borderId="25" xfId="0" applyFont="1" applyFill="1" applyBorder="1" applyAlignment="1">
      <alignment horizontal="center" vertical="center"/>
    </xf>
    <xf numFmtId="0" fontId="13" fillId="19" borderId="28" xfId="0" applyFont="1" applyFill="1" applyBorder="1" applyAlignment="1">
      <alignment horizontal="center"/>
    </xf>
    <xf numFmtId="0" fontId="10" fillId="19" borderId="23" xfId="0" applyFont="1" applyFill="1" applyBorder="1"/>
    <xf numFmtId="0" fontId="10" fillId="19" borderId="25" xfId="0" applyFont="1" applyFill="1" applyBorder="1"/>
    <xf numFmtId="0" fontId="0" fillId="10" borderId="28" xfId="0" applyFill="1" applyBorder="1"/>
    <xf numFmtId="0" fontId="0" fillId="0" borderId="2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2" xfId="0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0" fillId="16" borderId="43" xfId="0" applyFill="1" applyBorder="1"/>
    <xf numFmtId="0" fontId="0" fillId="0" borderId="23" xfId="0" applyBorder="1"/>
    <xf numFmtId="0" fontId="6" fillId="8" borderId="23" xfId="0" applyFont="1" applyFill="1" applyBorder="1" applyAlignment="1">
      <alignment vertical="center"/>
    </xf>
    <xf numFmtId="0" fontId="0" fillId="11" borderId="20" xfId="0" applyFill="1" applyBorder="1"/>
    <xf numFmtId="0" fontId="0" fillId="11" borderId="55" xfId="0" applyFill="1" applyBorder="1"/>
    <xf numFmtId="0" fontId="0" fillId="11" borderId="28" xfId="0" applyFill="1" applyBorder="1"/>
    <xf numFmtId="0" fontId="6" fillId="19" borderId="28" xfId="0" applyFont="1" applyFill="1" applyBorder="1" applyAlignment="1">
      <alignment horizontal="center"/>
    </xf>
    <xf numFmtId="0" fontId="0" fillId="19" borderId="23" xfId="0" applyFill="1" applyBorder="1"/>
    <xf numFmtId="0" fontId="0" fillId="19" borderId="18" xfId="0" applyFill="1" applyBorder="1"/>
    <xf numFmtId="0" fontId="0" fillId="0" borderId="47" xfId="0" applyBorder="1"/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48" xfId="0" applyBorder="1" applyAlignment="1">
      <alignment horizontal="center"/>
    </xf>
    <xf numFmtId="0" fontId="0" fillId="19" borderId="25" xfId="0" applyFill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7" xfId="0" applyBorder="1" applyAlignment="1">
      <alignment horizontal="center"/>
    </xf>
    <xf numFmtId="164" fontId="5" fillId="2" borderId="7" xfId="0" applyNumberFormat="1" applyFont="1" applyFill="1" applyBorder="1" applyAlignment="1">
      <alignment vertical="center"/>
    </xf>
    <xf numFmtId="0" fontId="6" fillId="17" borderId="38" xfId="0" applyFont="1" applyFill="1" applyBorder="1" applyAlignment="1">
      <alignment vertical="center"/>
    </xf>
    <xf numFmtId="0" fontId="6" fillId="17" borderId="39" xfId="0" applyFont="1" applyFill="1" applyBorder="1" applyAlignment="1">
      <alignment horizontal="center" vertical="center"/>
    </xf>
    <xf numFmtId="0" fontId="6" fillId="17" borderId="40" xfId="0" applyFont="1" applyFill="1" applyBorder="1" applyAlignment="1">
      <alignment horizontal="center" vertical="center"/>
    </xf>
    <xf numFmtId="0" fontId="6" fillId="19" borderId="43" xfId="0" applyFont="1" applyFill="1" applyBorder="1" applyAlignment="1">
      <alignment horizontal="center"/>
    </xf>
    <xf numFmtId="0" fontId="6" fillId="10" borderId="29" xfId="0" applyFont="1" applyFill="1" applyBorder="1" applyAlignment="1">
      <alignment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vertical="center"/>
    </xf>
    <xf numFmtId="0" fontId="3" fillId="10" borderId="37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8" borderId="26" xfId="0" applyFont="1" applyFill="1" applyBorder="1" applyAlignment="1">
      <alignment horizontal="center" vertical="center"/>
    </xf>
    <xf numFmtId="164" fontId="5" fillId="18" borderId="15" xfId="0" applyNumberFormat="1" applyFont="1" applyFill="1" applyBorder="1" applyAlignment="1">
      <alignment horizontal="center" vertical="center"/>
    </xf>
    <xf numFmtId="0" fontId="0" fillId="8" borderId="11" xfId="0" applyFill="1" applyBorder="1"/>
    <xf numFmtId="0" fontId="0" fillId="8" borderId="64" xfId="0" applyFill="1" applyBorder="1"/>
    <xf numFmtId="0" fontId="3" fillId="8" borderId="1" xfId="0" applyFont="1" applyFill="1" applyBorder="1" applyAlignment="1">
      <alignment horizontal="center" vertical="center"/>
    </xf>
    <xf numFmtId="0" fontId="6" fillId="20" borderId="60" xfId="0" applyFont="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3" fillId="8" borderId="14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horizontal="center" vertical="center"/>
    </xf>
    <xf numFmtId="0" fontId="3" fillId="8" borderId="52" xfId="0" applyFont="1" applyFill="1" applyBorder="1" applyAlignment="1">
      <alignment vertical="center"/>
    </xf>
    <xf numFmtId="0" fontId="3" fillId="8" borderId="56" xfId="0" applyFont="1" applyFill="1" applyBorder="1" applyAlignment="1">
      <alignment vertical="center"/>
    </xf>
    <xf numFmtId="0" fontId="3" fillId="8" borderId="5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3" fillId="8" borderId="23" xfId="0" applyFont="1" applyFill="1" applyBorder="1" applyAlignment="1">
      <alignment vertical="center"/>
    </xf>
    <xf numFmtId="0" fontId="3" fillId="8" borderId="25" xfId="0" applyFont="1" applyFill="1" applyBorder="1" applyAlignment="1">
      <alignment vertical="center"/>
    </xf>
    <xf numFmtId="0" fontId="0" fillId="11" borderId="23" xfId="0" applyFill="1" applyBorder="1"/>
    <xf numFmtId="0" fontId="0" fillId="11" borderId="25" xfId="0" applyFill="1" applyBorder="1"/>
    <xf numFmtId="0" fontId="3" fillId="11" borderId="23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/>
    </xf>
    <xf numFmtId="0" fontId="6" fillId="17" borderId="11" xfId="0" applyFont="1" applyFill="1" applyBorder="1" applyAlignment="1">
      <alignment vertical="center"/>
    </xf>
    <xf numFmtId="0" fontId="6" fillId="17" borderId="17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vertical="center"/>
    </xf>
    <xf numFmtId="0" fontId="3" fillId="17" borderId="47" xfId="0" applyFont="1" applyFill="1" applyBorder="1" applyAlignment="1">
      <alignment vertical="center"/>
    </xf>
    <xf numFmtId="0" fontId="3" fillId="17" borderId="54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3" fillId="20" borderId="23" xfId="0" applyFont="1" applyFill="1" applyBorder="1" applyAlignment="1">
      <alignment vertical="center"/>
    </xf>
    <xf numFmtId="0" fontId="6" fillId="8" borderId="47" xfId="0" applyFont="1" applyFill="1" applyBorder="1" applyAlignment="1">
      <alignment vertical="center"/>
    </xf>
    <xf numFmtId="0" fontId="6" fillId="20" borderId="23" xfId="0" applyFont="1" applyFill="1" applyBorder="1" applyAlignment="1">
      <alignment vertical="center"/>
    </xf>
    <xf numFmtId="0" fontId="6" fillId="8" borderId="25" xfId="0" applyFont="1" applyFill="1" applyBorder="1" applyAlignment="1">
      <alignment vertical="center"/>
    </xf>
    <xf numFmtId="0" fontId="6" fillId="8" borderId="65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25" xfId="0" applyFont="1" applyFill="1" applyBorder="1"/>
    <xf numFmtId="0" fontId="6" fillId="17" borderId="14" xfId="0" applyFont="1" applyFill="1" applyBorder="1" applyAlignment="1">
      <alignment vertical="center"/>
    </xf>
    <xf numFmtId="0" fontId="6" fillId="17" borderId="12" xfId="0" applyFont="1" applyFill="1" applyBorder="1" applyAlignment="1">
      <alignment horizontal="center" vertical="center"/>
    </xf>
    <xf numFmtId="0" fontId="6" fillId="17" borderId="65" xfId="0" applyFont="1" applyFill="1" applyBorder="1" applyAlignment="1">
      <alignment horizontal="center" vertical="center"/>
    </xf>
    <xf numFmtId="0" fontId="6" fillId="17" borderId="47" xfId="0" applyFont="1" applyFill="1" applyBorder="1" applyAlignment="1">
      <alignment vertical="center"/>
    </xf>
    <xf numFmtId="0" fontId="3" fillId="17" borderId="25" xfId="0" applyFont="1" applyFill="1" applyBorder="1" applyAlignment="1">
      <alignment vertical="center"/>
    </xf>
    <xf numFmtId="0" fontId="6" fillId="11" borderId="25" xfId="0" applyFont="1" applyFill="1" applyBorder="1"/>
    <xf numFmtId="0" fontId="3" fillId="17" borderId="56" xfId="0" applyFont="1" applyFill="1" applyBorder="1" applyAlignment="1">
      <alignment vertical="center"/>
    </xf>
    <xf numFmtId="0" fontId="6" fillId="17" borderId="25" xfId="0" applyFont="1" applyFill="1" applyBorder="1" applyAlignment="1">
      <alignment vertical="center"/>
    </xf>
    <xf numFmtId="0" fontId="0" fillId="8" borderId="38" xfId="0" applyFill="1" applyBorder="1"/>
    <xf numFmtId="0" fontId="0" fillId="8" borderId="40" xfId="0" applyFill="1" applyBorder="1"/>
    <xf numFmtId="164" fontId="5" fillId="8" borderId="38" xfId="0" applyNumberFormat="1" applyFont="1" applyFill="1" applyBorder="1" applyAlignment="1">
      <alignment horizontal="center" vertical="center"/>
    </xf>
    <xf numFmtId="0" fontId="6" fillId="8" borderId="40" xfId="0" applyFont="1" applyFill="1" applyBorder="1"/>
    <xf numFmtId="0" fontId="5" fillId="8" borderId="66" xfId="0" applyFont="1" applyFill="1" applyBorder="1" applyAlignment="1">
      <alignment horizontal="center"/>
    </xf>
    <xf numFmtId="0" fontId="6" fillId="8" borderId="23" xfId="0" applyFont="1" applyFill="1" applyBorder="1"/>
    <xf numFmtId="0" fontId="3" fillId="3" borderId="4" xfId="0" applyFont="1" applyFill="1" applyBorder="1"/>
    <xf numFmtId="0" fontId="6" fillId="3" borderId="67" xfId="0" applyFont="1" applyFill="1" applyBorder="1" applyAlignment="1">
      <alignment horizontal="center"/>
    </xf>
    <xf numFmtId="0" fontId="3" fillId="8" borderId="44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4" fontId="5" fillId="2" borderId="9" xfId="0" applyNumberFormat="1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vertical="center"/>
    </xf>
    <xf numFmtId="0" fontId="6" fillId="8" borderId="40" xfId="0" applyFont="1" applyFill="1" applyBorder="1" applyAlignment="1">
      <alignment vertical="center"/>
    </xf>
    <xf numFmtId="0" fontId="3" fillId="8" borderId="40" xfId="0" applyFont="1" applyFill="1" applyBorder="1" applyAlignment="1">
      <alignment vertical="center"/>
    </xf>
    <xf numFmtId="0" fontId="6" fillId="8" borderId="56" xfId="0" applyFont="1" applyFill="1" applyBorder="1" applyAlignment="1">
      <alignment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18" borderId="6" xfId="0" applyFont="1" applyFill="1" applyBorder="1"/>
    <xf numFmtId="0" fontId="3" fillId="18" borderId="1" xfId="0" applyFont="1" applyFill="1" applyBorder="1"/>
    <xf numFmtId="0" fontId="3" fillId="18" borderId="6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0" fillId="10" borderId="19" xfId="0" applyFill="1" applyBorder="1"/>
    <xf numFmtId="0" fontId="3" fillId="10" borderId="15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3" fillId="7" borderId="6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vertical="center"/>
    </xf>
    <xf numFmtId="0" fontId="6" fillId="10" borderId="18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0" fillId="10" borderId="58" xfId="0" applyFill="1" applyBorder="1"/>
    <xf numFmtId="0" fontId="0" fillId="10" borderId="64" xfId="0" applyFill="1" applyBorder="1"/>
    <xf numFmtId="0" fontId="3" fillId="10" borderId="68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vertical="center"/>
    </xf>
    <xf numFmtId="0" fontId="3" fillId="10" borderId="26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6" fillId="10" borderId="11" xfId="0" applyFont="1" applyFill="1" applyBorder="1" applyAlignment="1">
      <alignment vertical="center"/>
    </xf>
    <xf numFmtId="0" fontId="3" fillId="10" borderId="66" xfId="0" applyFont="1" applyFill="1" applyBorder="1" applyAlignment="1">
      <alignment horizontal="center" vertical="center"/>
    </xf>
    <xf numFmtId="0" fontId="3" fillId="10" borderId="58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/>
    </xf>
    <xf numFmtId="0" fontId="0" fillId="10" borderId="38" xfId="0" applyFill="1" applyBorder="1"/>
    <xf numFmtId="0" fontId="0" fillId="10" borderId="69" xfId="0" applyFill="1" applyBorder="1"/>
    <xf numFmtId="0" fontId="3" fillId="10" borderId="42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vertical="center"/>
    </xf>
    <xf numFmtId="0" fontId="6" fillId="10" borderId="35" xfId="0" applyFont="1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0" fontId="3" fillId="10" borderId="41" xfId="0" applyFont="1" applyFill="1" applyBorder="1" applyAlignment="1">
      <alignment horizontal="center" vertical="center"/>
    </xf>
    <xf numFmtId="0" fontId="0" fillId="0" borderId="14" xfId="0" applyBorder="1"/>
    <xf numFmtId="0" fontId="0" fillId="8" borderId="19" xfId="0" applyFill="1" applyBorder="1"/>
    <xf numFmtId="0" fontId="6" fillId="8" borderId="18" xfId="0" applyFont="1" applyFill="1" applyBorder="1" applyAlignment="1">
      <alignment horizontal="center"/>
    </xf>
    <xf numFmtId="0" fontId="0" fillId="17" borderId="23" xfId="0" applyFill="1" applyBorder="1"/>
    <xf numFmtId="0" fontId="0" fillId="17" borderId="19" xfId="0" applyFill="1" applyBorder="1"/>
    <xf numFmtId="0" fontId="3" fillId="17" borderId="23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0" fillId="8" borderId="58" xfId="0" applyFill="1" applyBorder="1"/>
    <xf numFmtId="0" fontId="3" fillId="8" borderId="58" xfId="0" applyFont="1" applyFill="1" applyBorder="1" applyAlignment="1">
      <alignment horizontal="center" vertical="center"/>
    </xf>
    <xf numFmtId="0" fontId="6" fillId="8" borderId="6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/>
    </xf>
    <xf numFmtId="0" fontId="6" fillId="17" borderId="22" xfId="0" applyFont="1" applyFill="1" applyBorder="1" applyAlignment="1">
      <alignment horizontal="center" vertical="center"/>
    </xf>
    <xf numFmtId="0" fontId="3" fillId="17" borderId="26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horizontal="center" vertical="center"/>
    </xf>
    <xf numFmtId="0" fontId="6" fillId="8" borderId="70" xfId="0" applyFont="1" applyFill="1" applyBorder="1" applyAlignment="1">
      <alignment horizontal="center"/>
    </xf>
    <xf numFmtId="0" fontId="0" fillId="17" borderId="58" xfId="0" applyFill="1" applyBorder="1"/>
    <xf numFmtId="0" fontId="0" fillId="17" borderId="64" xfId="0" applyFill="1" applyBorder="1"/>
    <xf numFmtId="0" fontId="3" fillId="17" borderId="58" xfId="0" applyFont="1" applyFill="1" applyBorder="1" applyAlignment="1">
      <alignment horizontal="center" vertical="center"/>
    </xf>
    <xf numFmtId="0" fontId="6" fillId="17" borderId="65" xfId="0" applyFont="1" applyFill="1" applyBorder="1" applyAlignment="1">
      <alignment horizontal="center"/>
    </xf>
    <xf numFmtId="164" fontId="5" fillId="18" borderId="30" xfId="0" applyNumberFormat="1" applyFont="1" applyFill="1" applyBorder="1" applyAlignment="1">
      <alignment horizontal="center" vertical="center"/>
    </xf>
    <xf numFmtId="0" fontId="6" fillId="17" borderId="48" xfId="0" applyFont="1" applyFill="1" applyBorder="1" applyAlignment="1">
      <alignment horizontal="center" vertical="center"/>
    </xf>
    <xf numFmtId="0" fontId="6" fillId="8" borderId="66" xfId="0" applyFont="1" applyFill="1" applyBorder="1" applyAlignment="1">
      <alignment horizontal="center"/>
    </xf>
    <xf numFmtId="0" fontId="0" fillId="8" borderId="69" xfId="0" applyFill="1" applyBorder="1"/>
    <xf numFmtId="0" fontId="3" fillId="8" borderId="38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 vertical="center"/>
    </xf>
    <xf numFmtId="0" fontId="0" fillId="10" borderId="0" xfId="0" applyFill="1"/>
    <xf numFmtId="0" fontId="3" fillId="8" borderId="41" xfId="0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vertical="center"/>
    </xf>
    <xf numFmtId="0" fontId="3" fillId="8" borderId="16" xfId="0" applyFont="1" applyFill="1" applyBorder="1" applyAlignment="1">
      <alignment vertical="center"/>
    </xf>
    <xf numFmtId="0" fontId="3" fillId="8" borderId="18" xfId="0" applyFont="1" applyFill="1" applyBorder="1" applyAlignment="1">
      <alignment vertical="center"/>
    </xf>
    <xf numFmtId="0" fontId="0" fillId="0" borderId="58" xfId="0" applyBorder="1"/>
    <xf numFmtId="0" fontId="6" fillId="12" borderId="25" xfId="0" applyFont="1" applyFill="1" applyBorder="1"/>
    <xf numFmtId="0" fontId="6" fillId="8" borderId="64" xfId="0" applyFont="1" applyFill="1" applyBorder="1" applyAlignment="1">
      <alignment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61" xfId="0" applyFont="1" applyFill="1" applyBorder="1"/>
    <xf numFmtId="0" fontId="0" fillId="0" borderId="52" xfId="0" applyBorder="1"/>
    <xf numFmtId="0" fontId="0" fillId="8" borderId="57" xfId="0" applyFill="1" applyBorder="1"/>
    <xf numFmtId="0" fontId="3" fillId="8" borderId="52" xfId="0" applyFont="1" applyFill="1" applyBorder="1" applyAlignment="1">
      <alignment horizontal="center"/>
    </xf>
    <xf numFmtId="0" fontId="6" fillId="8" borderId="54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/>
    </xf>
    <xf numFmtId="0" fontId="6" fillId="8" borderId="57" xfId="0" applyFont="1" applyFill="1" applyBorder="1" applyAlignment="1">
      <alignment vertical="center"/>
    </xf>
    <xf numFmtId="0" fontId="6" fillId="8" borderId="56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3" fillId="8" borderId="57" xfId="0" applyFont="1" applyFill="1" applyBorder="1" applyAlignment="1">
      <alignment horizontal="center" vertical="center"/>
    </xf>
    <xf numFmtId="0" fontId="6" fillId="8" borderId="54" xfId="0" applyFont="1" applyFill="1" applyBorder="1"/>
    <xf numFmtId="0" fontId="3" fillId="17" borderId="23" xfId="0" applyFont="1" applyFill="1" applyBorder="1" applyAlignment="1">
      <alignment horizontal="center"/>
    </xf>
    <xf numFmtId="0" fontId="6" fillId="17" borderId="25" xfId="0" applyFont="1" applyFill="1" applyBorder="1"/>
    <xf numFmtId="0" fontId="6" fillId="17" borderId="66" xfId="0" applyFont="1" applyFill="1" applyBorder="1" applyAlignment="1">
      <alignment horizontal="center"/>
    </xf>
    <xf numFmtId="0" fontId="6" fillId="8" borderId="69" xfId="0" applyFont="1" applyFill="1" applyBorder="1" applyAlignment="1">
      <alignment vertical="center"/>
    </xf>
    <xf numFmtId="0" fontId="6" fillId="8" borderId="53" xfId="0" applyFont="1" applyFill="1" applyBorder="1"/>
    <xf numFmtId="0" fontId="3" fillId="8" borderId="37" xfId="0" applyFont="1" applyFill="1" applyBorder="1" applyAlignment="1">
      <alignment horizontal="center" vertical="center"/>
    </xf>
    <xf numFmtId="0" fontId="3" fillId="10" borderId="20" xfId="0" applyFont="1" applyFill="1" applyBorder="1"/>
    <xf numFmtId="164" fontId="3" fillId="10" borderId="28" xfId="0" applyNumberFormat="1" applyFont="1" applyFill="1" applyBorder="1" applyAlignment="1">
      <alignment vertical="center"/>
    </xf>
    <xf numFmtId="164" fontId="5" fillId="10" borderId="28" xfId="0" applyNumberFormat="1" applyFont="1" applyFill="1" applyBorder="1" applyAlignment="1">
      <alignment horizontal="center" vertical="center"/>
    </xf>
    <xf numFmtId="0" fontId="3" fillId="7" borderId="65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vertical="center"/>
    </xf>
    <xf numFmtId="0" fontId="3" fillId="10" borderId="18" xfId="0" applyFont="1" applyFill="1" applyBorder="1" applyAlignment="1">
      <alignment vertical="center"/>
    </xf>
    <xf numFmtId="0" fontId="6" fillId="10" borderId="23" xfId="0" applyFont="1" applyFill="1" applyBorder="1"/>
    <xf numFmtId="0" fontId="6" fillId="10" borderId="24" xfId="0" applyFont="1" applyFill="1" applyBorder="1"/>
    <xf numFmtId="0" fontId="6" fillId="10" borderId="24" xfId="0" applyFont="1" applyFill="1" applyBorder="1" applyAlignment="1">
      <alignment horizontal="center"/>
    </xf>
    <xf numFmtId="0" fontId="6" fillId="10" borderId="25" xfId="0" applyFont="1" applyFill="1" applyBorder="1"/>
    <xf numFmtId="0" fontId="3" fillId="10" borderId="25" xfId="0" applyFont="1" applyFill="1" applyBorder="1" applyAlignment="1">
      <alignment vertical="center"/>
    </xf>
    <xf numFmtId="164" fontId="5" fillId="8" borderId="28" xfId="0" applyNumberFormat="1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/>
    </xf>
    <xf numFmtId="0" fontId="0" fillId="21" borderId="14" xfId="0" applyFill="1" applyBorder="1"/>
    <xf numFmtId="164" fontId="5" fillId="21" borderId="28" xfId="0" applyNumberFormat="1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22" borderId="25" xfId="0" applyFill="1" applyBorder="1" applyAlignment="1">
      <alignment horizontal="center"/>
    </xf>
    <xf numFmtId="0" fontId="6" fillId="21" borderId="23" xfId="0" applyFont="1" applyFill="1" applyBorder="1"/>
    <xf numFmtId="0" fontId="6" fillId="21" borderId="24" xfId="0" applyFont="1" applyFill="1" applyBorder="1" applyAlignment="1">
      <alignment horizontal="center" vertical="center"/>
    </xf>
    <xf numFmtId="0" fontId="6" fillId="21" borderId="25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/>
    </xf>
    <xf numFmtId="164" fontId="5" fillId="8" borderId="43" xfId="0" applyNumberFormat="1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6" fillId="3" borderId="74" xfId="0" applyFont="1" applyFill="1" applyBorder="1" applyAlignment="1">
      <alignment horizontal="center"/>
    </xf>
    <xf numFmtId="0" fontId="6" fillId="8" borderId="38" xfId="0" applyFont="1" applyFill="1" applyBorder="1"/>
    <xf numFmtId="0" fontId="3" fillId="11" borderId="22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10" borderId="9" xfId="0" applyFont="1" applyFill="1" applyBorder="1"/>
    <xf numFmtId="0" fontId="3" fillId="11" borderId="37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20" borderId="7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20" borderId="73" xfId="0" applyFont="1" applyFill="1" applyBorder="1" applyAlignment="1">
      <alignment horizontal="center" vertical="center"/>
    </xf>
    <xf numFmtId="0" fontId="0" fillId="20" borderId="10" xfId="0" applyFill="1" applyBorder="1" applyAlignment="1">
      <alignment horizontal="center"/>
    </xf>
    <xf numFmtId="164" fontId="5" fillId="10" borderId="33" xfId="0" applyNumberFormat="1" applyFont="1" applyFill="1" applyBorder="1" applyAlignment="1">
      <alignment horizontal="center" vertical="center"/>
    </xf>
    <xf numFmtId="0" fontId="3" fillId="10" borderId="50" xfId="0" applyFont="1" applyFill="1" applyBorder="1"/>
    <xf numFmtId="0" fontId="3" fillId="17" borderId="51" xfId="0" applyFont="1" applyFill="1" applyBorder="1" applyAlignment="1">
      <alignment horizontal="center" vertical="center"/>
    </xf>
    <xf numFmtId="0" fontId="0" fillId="12" borderId="33" xfId="0" applyFill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 vertical="center"/>
    </xf>
    <xf numFmtId="0" fontId="3" fillId="10" borderId="22" xfId="0" applyFont="1" applyFill="1" applyBorder="1"/>
    <xf numFmtId="0" fontId="3" fillId="17" borderId="27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6" fillId="8" borderId="52" xfId="0" applyFont="1" applyFill="1" applyBorder="1"/>
    <xf numFmtId="0" fontId="6" fillId="12" borderId="27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6" fillId="17" borderId="27" xfId="0" applyFont="1" applyFill="1" applyBorder="1" applyAlignment="1">
      <alignment horizontal="center"/>
    </xf>
    <xf numFmtId="0" fontId="6" fillId="17" borderId="23" xfId="0" applyFont="1" applyFill="1" applyBorder="1"/>
    <xf numFmtId="0" fontId="3" fillId="17" borderId="27" xfId="0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3" fillId="11" borderId="27" xfId="0" applyFont="1" applyFill="1" applyBorder="1" applyAlignment="1">
      <alignment horizontal="center"/>
    </xf>
    <xf numFmtId="0" fontId="6" fillId="17" borderId="24" xfId="0" applyFont="1" applyFill="1" applyBorder="1" applyAlignment="1">
      <alignment horizontal="center"/>
    </xf>
    <xf numFmtId="164" fontId="5" fillId="10" borderId="9" xfId="0" applyNumberFormat="1" applyFont="1" applyFill="1" applyBorder="1" applyAlignment="1">
      <alignment horizontal="center" vertical="center"/>
    </xf>
    <xf numFmtId="0" fontId="3" fillId="10" borderId="37" xfId="0" applyFont="1" applyFill="1" applyBorder="1"/>
    <xf numFmtId="0" fontId="3" fillId="17" borderId="42" xfId="0" applyFont="1" applyFill="1" applyBorder="1" applyAlignment="1">
      <alignment horizontal="center" vertical="center"/>
    </xf>
    <xf numFmtId="164" fontId="5" fillId="17" borderId="15" xfId="0" applyNumberFormat="1" applyFont="1" applyFill="1" applyBorder="1" applyAlignment="1">
      <alignment horizontal="center" vertical="center"/>
    </xf>
    <xf numFmtId="164" fontId="5" fillId="17" borderId="10" xfId="0" applyNumberFormat="1" applyFont="1" applyFill="1" applyBorder="1" applyAlignment="1">
      <alignment horizontal="center" vertical="center"/>
    </xf>
    <xf numFmtId="0" fontId="3" fillId="8" borderId="62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8" borderId="61" xfId="0" applyFont="1" applyFill="1" applyBorder="1" applyAlignment="1">
      <alignment horizontal="center" vertical="center"/>
    </xf>
    <xf numFmtId="0" fontId="3" fillId="11" borderId="42" xfId="0" applyFont="1" applyFill="1" applyBorder="1" applyAlignment="1">
      <alignment horizontal="center" vertical="center"/>
    </xf>
    <xf numFmtId="0" fontId="6" fillId="17" borderId="40" xfId="0" applyFont="1" applyFill="1" applyBorder="1"/>
    <xf numFmtId="0" fontId="3" fillId="8" borderId="34" xfId="0" applyFont="1" applyFill="1" applyBorder="1"/>
    <xf numFmtId="0" fontId="3" fillId="8" borderId="35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6" fillId="8" borderId="36" xfId="0" applyFont="1" applyFill="1" applyBorder="1"/>
    <xf numFmtId="0" fontId="3" fillId="2" borderId="3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/>
    <xf numFmtId="0" fontId="3" fillId="10" borderId="16" xfId="0" applyFont="1" applyFill="1" applyBorder="1"/>
    <xf numFmtId="0" fontId="3" fillId="10" borderId="12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center" vertical="center"/>
    </xf>
    <xf numFmtId="0" fontId="6" fillId="10" borderId="16" xfId="0" applyFont="1" applyFill="1" applyBorder="1"/>
    <xf numFmtId="0" fontId="3" fillId="10" borderId="24" xfId="0" applyFont="1" applyFill="1" applyBorder="1" applyAlignment="1">
      <alignment horizontal="center" vertical="center"/>
    </xf>
    <xf numFmtId="0" fontId="3" fillId="10" borderId="47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0" borderId="53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3" fillId="20" borderId="37" xfId="0" applyFont="1" applyFill="1" applyBorder="1"/>
    <xf numFmtId="0" fontId="6" fillId="20" borderId="16" xfId="0" applyFont="1" applyFill="1" applyBorder="1"/>
    <xf numFmtId="0" fontId="19" fillId="2" borderId="34" xfId="0" applyFont="1" applyFill="1" applyBorder="1" applyAlignment="1">
      <alignment horizontal="center" vertical="center"/>
    </xf>
    <xf numFmtId="0" fontId="3" fillId="10" borderId="14" xfId="0" applyFont="1" applyFill="1" applyBorder="1"/>
    <xf numFmtId="0" fontId="3" fillId="10" borderId="44" xfId="0" applyFont="1" applyFill="1" applyBorder="1"/>
    <xf numFmtId="0" fontId="3" fillId="10" borderId="18" xfId="0" applyFont="1" applyFill="1" applyBorder="1"/>
    <xf numFmtId="0" fontId="3" fillId="10" borderId="47" xfId="0" applyFont="1" applyFill="1" applyBorder="1"/>
    <xf numFmtId="0" fontId="3" fillId="10" borderId="25" xfId="0" applyFont="1" applyFill="1" applyBorder="1"/>
    <xf numFmtId="0" fontId="3" fillId="10" borderId="23" xfId="0" applyFont="1" applyFill="1" applyBorder="1"/>
    <xf numFmtId="43" fontId="3" fillId="10" borderId="23" xfId="1" applyFont="1" applyFill="1" applyBorder="1" applyAlignment="1"/>
    <xf numFmtId="43" fontId="3" fillId="10" borderId="47" xfId="1" applyFont="1" applyFill="1" applyBorder="1" applyAlignment="1"/>
    <xf numFmtId="0" fontId="3" fillId="20" borderId="38" xfId="0" applyFont="1" applyFill="1" applyBorder="1"/>
    <xf numFmtId="0" fontId="3" fillId="20" borderId="49" xfId="0" applyFont="1" applyFill="1" applyBorder="1"/>
    <xf numFmtId="0" fontId="6" fillId="20" borderId="40" xfId="0" applyFont="1" applyFill="1" applyBorder="1"/>
    <xf numFmtId="0" fontId="6" fillId="0" borderId="76" xfId="0" applyFont="1" applyBorder="1"/>
    <xf numFmtId="0" fontId="3" fillId="8" borderId="4" xfId="0" applyFont="1" applyFill="1" applyBorder="1"/>
    <xf numFmtId="0" fontId="3" fillId="8" borderId="9" xfId="0" applyFont="1" applyFill="1" applyBorder="1"/>
    <xf numFmtId="0" fontId="0" fillId="0" borderId="16" xfId="0" applyBorder="1"/>
    <xf numFmtId="0" fontId="6" fillId="0" borderId="14" xfId="0" applyFont="1" applyBorder="1" applyAlignment="1">
      <alignment horizontal="center"/>
    </xf>
    <xf numFmtId="0" fontId="3" fillId="8" borderId="19" xfId="0" applyFont="1" applyFill="1" applyBorder="1"/>
    <xf numFmtId="0" fontId="3" fillId="8" borderId="18" xfId="0" applyFont="1" applyFill="1" applyBorder="1"/>
    <xf numFmtId="0" fontId="0" fillId="0" borderId="28" xfId="0" applyBorder="1"/>
    <xf numFmtId="0" fontId="6" fillId="0" borderId="9" xfId="0" applyFont="1" applyBorder="1"/>
    <xf numFmtId="0" fontId="3" fillId="8" borderId="16" xfId="0" applyFont="1" applyFill="1" applyBorder="1"/>
    <xf numFmtId="0" fontId="3" fillId="8" borderId="12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6" fillId="0" borderId="16" xfId="0" applyFont="1" applyBorder="1"/>
    <xf numFmtId="0" fontId="3" fillId="8" borderId="22" xfId="0" applyFont="1" applyFill="1" applyBorder="1"/>
    <xf numFmtId="0" fontId="7" fillId="0" borderId="22" xfId="0" applyFont="1" applyBorder="1"/>
    <xf numFmtId="0" fontId="3" fillId="17" borderId="22" xfId="0" applyFont="1" applyFill="1" applyBorder="1"/>
    <xf numFmtId="0" fontId="6" fillId="17" borderId="26" xfId="0" applyFont="1" applyFill="1" applyBorder="1" applyAlignment="1">
      <alignment horizontal="center"/>
    </xf>
    <xf numFmtId="0" fontId="3" fillId="17" borderId="24" xfId="0" applyFont="1" applyFill="1" applyBorder="1" applyAlignment="1">
      <alignment horizontal="center" vertical="center"/>
    </xf>
    <xf numFmtId="0" fontId="3" fillId="17" borderId="47" xfId="0" applyFont="1" applyFill="1" applyBorder="1" applyAlignment="1">
      <alignment horizontal="center" vertical="center"/>
    </xf>
    <xf numFmtId="0" fontId="6" fillId="17" borderId="22" xfId="0" applyFont="1" applyFill="1" applyBorder="1"/>
    <xf numFmtId="0" fontId="3" fillId="8" borderId="24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17" borderId="16" xfId="0" applyFont="1" applyFill="1" applyBorder="1"/>
    <xf numFmtId="164" fontId="5" fillId="23" borderId="15" xfId="0" applyNumberFormat="1" applyFont="1" applyFill="1" applyBorder="1" applyAlignment="1">
      <alignment horizontal="center" vertical="center"/>
    </xf>
    <xf numFmtId="0" fontId="20" fillId="23" borderId="16" xfId="0" applyFont="1" applyFill="1" applyBorder="1"/>
    <xf numFmtId="0" fontId="20" fillId="23" borderId="26" xfId="0" applyFont="1" applyFill="1" applyBorder="1" applyAlignment="1">
      <alignment horizontal="center" vertical="center"/>
    </xf>
    <xf numFmtId="0" fontId="20" fillId="23" borderId="24" xfId="0" applyFont="1" applyFill="1" applyBorder="1" applyAlignment="1">
      <alignment horizontal="center" vertical="center"/>
    </xf>
    <xf numFmtId="0" fontId="20" fillId="23" borderId="47" xfId="0" applyFont="1" applyFill="1" applyBorder="1" applyAlignment="1">
      <alignment horizontal="center" vertical="center"/>
    </xf>
    <xf numFmtId="0" fontId="21" fillId="23" borderId="22" xfId="0" applyFont="1" applyFill="1" applyBorder="1"/>
    <xf numFmtId="0" fontId="20" fillId="23" borderId="22" xfId="0" applyFont="1" applyFill="1" applyBorder="1"/>
    <xf numFmtId="0" fontId="20" fillId="23" borderId="37" xfId="0" applyFont="1" applyFill="1" applyBorder="1"/>
    <xf numFmtId="0" fontId="20" fillId="23" borderId="41" xfId="0" applyFont="1" applyFill="1" applyBorder="1" applyAlignment="1">
      <alignment horizontal="center" vertical="center"/>
    </xf>
    <xf numFmtId="0" fontId="20" fillId="23" borderId="39" xfId="0" applyFont="1" applyFill="1" applyBorder="1" applyAlignment="1">
      <alignment horizontal="center" vertical="center"/>
    </xf>
    <xf numFmtId="0" fontId="20" fillId="23" borderId="49" xfId="0" applyFont="1" applyFill="1" applyBorder="1" applyAlignment="1">
      <alignment horizontal="center" vertical="center"/>
    </xf>
    <xf numFmtId="0" fontId="21" fillId="23" borderId="37" xfId="0" applyFont="1" applyFill="1" applyBorder="1"/>
    <xf numFmtId="0" fontId="22" fillId="8" borderId="16" xfId="0" applyFont="1" applyFill="1" applyBorder="1"/>
    <xf numFmtId="0" fontId="5" fillId="8" borderId="18" xfId="0" applyFont="1" applyFill="1" applyBorder="1"/>
    <xf numFmtId="0" fontId="3" fillId="8" borderId="22" xfId="0" applyFont="1" applyFill="1" applyBorder="1" applyAlignment="1">
      <alignment horizontal="center"/>
    </xf>
    <xf numFmtId="0" fontId="3" fillId="8" borderId="23" xfId="0" applyFont="1" applyFill="1" applyBorder="1"/>
    <xf numFmtId="0" fontId="3" fillId="8" borderId="47" xfId="0" applyFont="1" applyFill="1" applyBorder="1"/>
    <xf numFmtId="0" fontId="3" fillId="8" borderId="25" xfId="0" applyFont="1" applyFill="1" applyBorder="1"/>
    <xf numFmtId="0" fontId="3" fillId="17" borderId="22" xfId="0" applyFont="1" applyFill="1" applyBorder="1" applyAlignment="1">
      <alignment horizontal="center"/>
    </xf>
    <xf numFmtId="0" fontId="3" fillId="17" borderId="23" xfId="0" applyFont="1" applyFill="1" applyBorder="1"/>
    <xf numFmtId="0" fontId="3" fillId="17" borderId="47" xfId="0" applyFont="1" applyFill="1" applyBorder="1"/>
    <xf numFmtId="0" fontId="6" fillId="8" borderId="16" xfId="0" applyFont="1" applyFill="1" applyBorder="1"/>
    <xf numFmtId="0" fontId="3" fillId="8" borderId="16" xfId="0" applyFont="1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43" fontId="3" fillId="8" borderId="23" xfId="1" applyFont="1" applyFill="1" applyBorder="1" applyAlignment="1"/>
    <xf numFmtId="43" fontId="3" fillId="8" borderId="47" xfId="1" applyFont="1" applyFill="1" applyBorder="1" applyAlignment="1"/>
    <xf numFmtId="0" fontId="3" fillId="23" borderId="16" xfId="0" applyFont="1" applyFill="1" applyBorder="1" applyAlignment="1">
      <alignment horizontal="center"/>
    </xf>
    <xf numFmtId="0" fontId="3" fillId="23" borderId="23" xfId="0" applyFont="1" applyFill="1" applyBorder="1"/>
    <xf numFmtId="0" fontId="3" fillId="23" borderId="47" xfId="0" applyFont="1" applyFill="1" applyBorder="1"/>
    <xf numFmtId="0" fontId="3" fillId="23" borderId="25" xfId="0" applyFont="1" applyFill="1" applyBorder="1" applyAlignment="1">
      <alignment vertical="center"/>
    </xf>
    <xf numFmtId="0" fontId="3" fillId="23" borderId="22" xfId="0" applyFont="1" applyFill="1" applyBorder="1" applyAlignment="1">
      <alignment horizontal="center"/>
    </xf>
    <xf numFmtId="0" fontId="3" fillId="23" borderId="37" xfId="0" applyFont="1" applyFill="1" applyBorder="1" applyAlignment="1">
      <alignment horizontal="center"/>
    </xf>
    <xf numFmtId="0" fontId="3" fillId="23" borderId="38" xfId="0" applyFont="1" applyFill="1" applyBorder="1"/>
    <xf numFmtId="0" fontId="3" fillId="23" borderId="49" xfId="0" applyFont="1" applyFill="1" applyBorder="1"/>
    <xf numFmtId="0" fontId="6" fillId="23" borderId="40" xfId="0" applyFont="1" applyFill="1" applyBorder="1"/>
    <xf numFmtId="0" fontId="23" fillId="8" borderId="18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48" xfId="0" applyBorder="1"/>
    <xf numFmtId="0" fontId="6" fillId="0" borderId="60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17" borderId="16" xfId="0" applyFont="1" applyFill="1" applyBorder="1"/>
    <xf numFmtId="0" fontId="6" fillId="17" borderId="37" xfId="0" applyFont="1" applyFill="1" applyBorder="1"/>
    <xf numFmtId="0" fontId="3" fillId="17" borderId="41" xfId="0" applyFont="1" applyFill="1" applyBorder="1" applyAlignment="1">
      <alignment horizontal="center" vertical="center"/>
    </xf>
    <xf numFmtId="0" fontId="3" fillId="17" borderId="39" xfId="0" applyFont="1" applyFill="1" applyBorder="1" applyAlignment="1">
      <alignment horizontal="center" vertical="center"/>
    </xf>
    <xf numFmtId="0" fontId="3" fillId="17" borderId="49" xfId="0" applyFont="1" applyFill="1" applyBorder="1" applyAlignment="1">
      <alignment horizontal="center" vertical="center"/>
    </xf>
    <xf numFmtId="0" fontId="3" fillId="8" borderId="0" xfId="0" applyFont="1" applyFill="1"/>
    <xf numFmtId="43" fontId="3" fillId="8" borderId="0" xfId="1" applyFont="1" applyFill="1" applyBorder="1" applyAlignment="1"/>
    <xf numFmtId="0" fontId="3" fillId="17" borderId="37" xfId="0" applyFont="1" applyFill="1" applyBorder="1" applyAlignment="1">
      <alignment horizontal="center"/>
    </xf>
    <xf numFmtId="0" fontId="3" fillId="17" borderId="38" xfId="0" applyFont="1" applyFill="1" applyBorder="1"/>
    <xf numFmtId="0" fontId="3" fillId="17" borderId="49" xfId="0" applyFont="1" applyFill="1" applyBorder="1"/>
    <xf numFmtId="164" fontId="5" fillId="17" borderId="9" xfId="0" applyNumberFormat="1" applyFont="1" applyFill="1" applyBorder="1" applyAlignment="1">
      <alignment horizontal="center" vertical="center"/>
    </xf>
    <xf numFmtId="0" fontId="6" fillId="0" borderId="77" xfId="0" applyFont="1" applyBorder="1"/>
    <xf numFmtId="0" fontId="3" fillId="8" borderId="17" xfId="0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/>
    </xf>
    <xf numFmtId="0" fontId="3" fillId="8" borderId="39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6" fillId="0" borderId="37" xfId="0" applyFont="1" applyBorder="1"/>
    <xf numFmtId="0" fontId="3" fillId="8" borderId="50" xfId="0" applyFont="1" applyFill="1" applyBorder="1" applyAlignment="1">
      <alignment horizontal="center"/>
    </xf>
    <xf numFmtId="0" fontId="3" fillId="8" borderId="52" xfId="0" applyFont="1" applyFill="1" applyBorder="1"/>
    <xf numFmtId="0" fontId="3" fillId="8" borderId="56" xfId="0" applyFont="1" applyFill="1" applyBorder="1"/>
    <xf numFmtId="0" fontId="0" fillId="8" borderId="54" xfId="0" applyFill="1" applyBorder="1"/>
    <xf numFmtId="0" fontId="3" fillId="8" borderId="38" xfId="0" applyFont="1" applyFill="1" applyBorder="1"/>
    <xf numFmtId="0" fontId="3" fillId="8" borderId="49" xfId="0" applyFont="1" applyFill="1" applyBorder="1"/>
    <xf numFmtId="0" fontId="3" fillId="8" borderId="78" xfId="0" applyFont="1" applyFill="1" applyBorder="1"/>
    <xf numFmtId="0" fontId="3" fillId="8" borderId="72" xfId="0" applyFont="1" applyFill="1" applyBorder="1"/>
    <xf numFmtId="0" fontId="6" fillId="0" borderId="34" xfId="0" applyFont="1" applyBorder="1"/>
    <xf numFmtId="0" fontId="6" fillId="0" borderId="78" xfId="0" applyFont="1" applyBorder="1"/>
    <xf numFmtId="0" fontId="6" fillId="0" borderId="74" xfId="0" applyFont="1" applyBorder="1"/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17" borderId="25" xfId="0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164" fontId="5" fillId="17" borderId="34" xfId="0" applyNumberFormat="1" applyFont="1" applyFill="1" applyBorder="1" applyAlignment="1">
      <alignment horizontal="center" vertical="center"/>
    </xf>
    <xf numFmtId="0" fontId="3" fillId="8" borderId="46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 vertical="center"/>
    </xf>
    <xf numFmtId="0" fontId="3" fillId="17" borderId="14" xfId="0" applyFont="1" applyFill="1" applyBorder="1"/>
    <xf numFmtId="0" fontId="3" fillId="17" borderId="18" xfId="0" applyFont="1" applyFill="1" applyBorder="1"/>
    <xf numFmtId="0" fontId="3" fillId="17" borderId="25" xfId="0" applyFont="1" applyFill="1" applyBorder="1"/>
    <xf numFmtId="43" fontId="3" fillId="8" borderId="25" xfId="1" applyFont="1" applyFill="1" applyBorder="1" applyAlignment="1"/>
    <xf numFmtId="0" fontId="3" fillId="17" borderId="6" xfId="0" applyFont="1" applyFill="1" applyBorder="1" applyAlignment="1">
      <alignment horizontal="center"/>
    </xf>
    <xf numFmtId="0" fontId="3" fillId="8" borderId="40" xfId="0" applyFont="1" applyFill="1" applyBorder="1"/>
    <xf numFmtId="0" fontId="6" fillId="0" borderId="47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3" fillId="0" borderId="39" xfId="0" applyFont="1" applyBorder="1"/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4" fontId="5" fillId="17" borderId="14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/>
    </xf>
    <xf numFmtId="0" fontId="3" fillId="17" borderId="44" xfId="0" applyFont="1" applyFill="1" applyBorder="1" applyAlignment="1">
      <alignment horizontal="center"/>
    </xf>
    <xf numFmtId="0" fontId="3" fillId="17" borderId="14" xfId="0" applyFont="1" applyFill="1" applyBorder="1" applyAlignment="1">
      <alignment horizontal="center" vertical="center"/>
    </xf>
    <xf numFmtId="0" fontId="3" fillId="17" borderId="47" xfId="0" applyFont="1" applyFill="1" applyBorder="1" applyAlignment="1">
      <alignment horizontal="center"/>
    </xf>
    <xf numFmtId="0" fontId="3" fillId="17" borderId="54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8" borderId="78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9" fillId="0" borderId="17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0" xfId="0" applyFont="1"/>
    <xf numFmtId="0" fontId="25" fillId="0" borderId="66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3" fillId="8" borderId="35" xfId="0" applyFont="1" applyFill="1" applyBorder="1" applyAlignment="1">
      <alignment horizontal="center"/>
    </xf>
    <xf numFmtId="0" fontId="3" fillId="8" borderId="74" xfId="0" applyFont="1" applyFill="1" applyBorder="1" applyAlignment="1">
      <alignment horizontal="center" vertical="center"/>
    </xf>
    <xf numFmtId="164" fontId="5" fillId="17" borderId="67" xfId="0" applyNumberFormat="1" applyFont="1" applyFill="1" applyBorder="1" applyAlignment="1">
      <alignment horizontal="center" vertical="center"/>
    </xf>
    <xf numFmtId="0" fontId="6" fillId="0" borderId="17" xfId="0" applyFont="1" applyBorder="1"/>
    <xf numFmtId="0" fontId="3" fillId="8" borderId="17" xfId="0" applyFont="1" applyFill="1" applyBorder="1" applyAlignment="1">
      <alignment horizontal="center"/>
    </xf>
    <xf numFmtId="0" fontId="3" fillId="17" borderId="24" xfId="0" applyFont="1" applyFill="1" applyBorder="1" applyAlignment="1">
      <alignment horizontal="center"/>
    </xf>
    <xf numFmtId="0" fontId="3" fillId="17" borderId="5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/>
    </xf>
    <xf numFmtId="0" fontId="3" fillId="17" borderId="17" xfId="0" applyFont="1" applyFill="1" applyBorder="1" applyAlignment="1">
      <alignment horizontal="center"/>
    </xf>
    <xf numFmtId="164" fontId="5" fillId="17" borderId="52" xfId="0" applyNumberFormat="1" applyFont="1" applyFill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8" borderId="56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/>
    </xf>
    <xf numFmtId="0" fontId="3" fillId="17" borderId="56" xfId="0" applyFont="1" applyFill="1" applyBorder="1" applyAlignment="1">
      <alignment horizontal="center" vertical="center"/>
    </xf>
    <xf numFmtId="0" fontId="3" fillId="17" borderId="53" xfId="0" applyFont="1" applyFill="1" applyBorder="1" applyAlignment="1">
      <alignment horizontal="center"/>
    </xf>
    <xf numFmtId="0" fontId="3" fillId="8" borderId="78" xfId="0" applyFont="1" applyFill="1" applyBorder="1" applyAlignment="1">
      <alignment horizontal="center"/>
    </xf>
    <xf numFmtId="0" fontId="3" fillId="8" borderId="72" xfId="0" applyFont="1" applyFill="1" applyBorder="1" applyAlignment="1">
      <alignment horizontal="center" vertical="center"/>
    </xf>
    <xf numFmtId="0" fontId="0" fillId="15" borderId="67" xfId="0" applyFill="1" applyBorder="1"/>
    <xf numFmtId="0" fontId="5" fillId="15" borderId="78" xfId="0" applyFont="1" applyFill="1" applyBorder="1"/>
    <xf numFmtId="0" fontId="5" fillId="15" borderId="72" xfId="0" applyFont="1" applyFill="1" applyBorder="1" applyAlignment="1">
      <alignment horizontal="center" vertical="center"/>
    </xf>
    <xf numFmtId="0" fontId="0" fillId="0" borderId="53" xfId="0" applyBorder="1"/>
    <xf numFmtId="0" fontId="0" fillId="0" borderId="56" xfId="0" applyBorder="1"/>
    <xf numFmtId="0" fontId="6" fillId="0" borderId="24" xfId="0" applyFont="1" applyBorder="1"/>
    <xf numFmtId="0" fontId="0" fillId="0" borderId="59" xfId="0" applyBorder="1"/>
    <xf numFmtId="0" fontId="3" fillId="2" borderId="15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3" fillId="8" borderId="67" xfId="0" applyFont="1" applyFill="1" applyBorder="1" applyAlignment="1">
      <alignment horizontal="center"/>
    </xf>
    <xf numFmtId="0" fontId="6" fillId="0" borderId="7" xfId="0" applyFont="1" applyBorder="1"/>
    <xf numFmtId="0" fontId="25" fillId="0" borderId="14" xfId="0" applyFont="1" applyBorder="1"/>
    <xf numFmtId="0" fontId="0" fillId="0" borderId="20" xfId="0" applyBorder="1"/>
    <xf numFmtId="0" fontId="0" fillId="0" borderId="49" xfId="0" applyBorder="1" applyAlignment="1">
      <alignment horizontal="center"/>
    </xf>
    <xf numFmtId="0" fontId="0" fillId="0" borderId="43" xfId="0" applyBorder="1"/>
    <xf numFmtId="0" fontId="5" fillId="8" borderId="53" xfId="0" applyFont="1" applyFill="1" applyBorder="1"/>
    <xf numFmtId="0" fontId="5" fillId="8" borderId="53" xfId="0" applyFont="1" applyFill="1" applyBorder="1" applyAlignment="1">
      <alignment horizontal="center" vertical="center"/>
    </xf>
    <xf numFmtId="0" fontId="5" fillId="8" borderId="53" xfId="0" applyFont="1" applyFill="1" applyBorder="1" applyAlignment="1">
      <alignment vertical="center"/>
    </xf>
    <xf numFmtId="0" fontId="5" fillId="8" borderId="54" xfId="0" applyFont="1" applyFill="1" applyBorder="1" applyAlignment="1">
      <alignment horizontal="center" vertical="center"/>
    </xf>
    <xf numFmtId="164" fontId="5" fillId="17" borderId="23" xfId="0" applyNumberFormat="1" applyFont="1" applyFill="1" applyBorder="1" applyAlignment="1">
      <alignment horizontal="center" vertical="center"/>
    </xf>
    <xf numFmtId="0" fontId="5" fillId="8" borderId="24" xfId="0" applyFont="1" applyFill="1" applyBorder="1"/>
    <xf numFmtId="0" fontId="5" fillId="8" borderId="24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47" xfId="0" applyFont="1" applyFill="1" applyBorder="1"/>
    <xf numFmtId="0" fontId="5" fillId="17" borderId="24" xfId="0" applyFont="1" applyFill="1" applyBorder="1"/>
    <xf numFmtId="0" fontId="5" fillId="17" borderId="24" xfId="0" applyFont="1" applyFill="1" applyBorder="1" applyAlignment="1">
      <alignment horizontal="center" vertical="center"/>
    </xf>
    <xf numFmtId="0" fontId="5" fillId="17" borderId="24" xfId="0" applyFont="1" applyFill="1" applyBorder="1" applyAlignment="1">
      <alignment vertical="center"/>
    </xf>
    <xf numFmtId="0" fontId="5" fillId="17" borderId="53" xfId="0" applyFont="1" applyFill="1" applyBorder="1"/>
    <xf numFmtId="0" fontId="5" fillId="17" borderId="47" xfId="0" applyFont="1" applyFill="1" applyBorder="1"/>
    <xf numFmtId="0" fontId="5" fillId="17" borderId="25" xfId="0" applyFont="1" applyFill="1" applyBorder="1" applyAlignment="1">
      <alignment horizontal="center" vertical="center"/>
    </xf>
    <xf numFmtId="0" fontId="5" fillId="10" borderId="24" xfId="0" applyFont="1" applyFill="1" applyBorder="1"/>
    <xf numFmtId="0" fontId="5" fillId="10" borderId="24" xfId="0" applyFont="1" applyFill="1" applyBorder="1" applyAlignment="1">
      <alignment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47" xfId="0" applyFont="1" applyFill="1" applyBorder="1"/>
    <xf numFmtId="164" fontId="5" fillId="8" borderId="58" xfId="0" applyNumberFormat="1" applyFont="1" applyFill="1" applyBorder="1" applyAlignment="1">
      <alignment horizontal="center" vertical="center"/>
    </xf>
    <xf numFmtId="0" fontId="5" fillId="8" borderId="60" xfId="0" applyFont="1" applyFill="1" applyBorder="1"/>
    <xf numFmtId="0" fontId="5" fillId="8" borderId="60" xfId="0" applyFont="1" applyFill="1" applyBorder="1" applyAlignment="1">
      <alignment horizontal="center" vertical="center"/>
    </xf>
    <xf numFmtId="0" fontId="5" fillId="8" borderId="59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vertical="center"/>
    </xf>
    <xf numFmtId="0" fontId="5" fillId="8" borderId="59" xfId="0" applyFont="1" applyFill="1" applyBorder="1"/>
    <xf numFmtId="0" fontId="5" fillId="8" borderId="61" xfId="0" applyFont="1" applyFill="1" applyBorder="1" applyAlignment="1">
      <alignment horizontal="center" vertical="center"/>
    </xf>
    <xf numFmtId="0" fontId="0" fillId="15" borderId="34" xfId="0" applyFill="1" applyBorder="1"/>
    <xf numFmtId="0" fontId="5" fillId="15" borderId="35" xfId="0" applyFont="1" applyFill="1" applyBorder="1"/>
    <xf numFmtId="0" fontId="5" fillId="15" borderId="35" xfId="0" applyFont="1" applyFill="1" applyBorder="1" applyAlignment="1">
      <alignment horizontal="center" vertical="center"/>
    </xf>
    <xf numFmtId="0" fontId="0" fillId="15" borderId="35" xfId="0" applyFill="1" applyBorder="1"/>
    <xf numFmtId="0" fontId="0" fillId="0" borderId="54" xfId="0" applyBorder="1"/>
    <xf numFmtId="0" fontId="0" fillId="0" borderId="5" xfId="0" applyBorder="1"/>
    <xf numFmtId="0" fontId="0" fillId="0" borderId="62" xfId="0" applyBorder="1"/>
    <xf numFmtId="0" fontId="0" fillId="0" borderId="63" xfId="0" applyBorder="1"/>
    <xf numFmtId="0" fontId="0" fillId="24" borderId="0" xfId="0" applyFill="1"/>
    <xf numFmtId="0" fontId="0" fillId="0" borderId="8" xfId="0" applyBorder="1"/>
    <xf numFmtId="0" fontId="0" fillId="0" borderId="30" xfId="0" applyBorder="1"/>
    <xf numFmtId="164" fontId="5" fillId="17" borderId="38" xfId="0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71" xfId="0" applyBorder="1"/>
    <xf numFmtId="0" fontId="0" fillId="0" borderId="80" xfId="0" applyBorder="1"/>
    <xf numFmtId="0" fontId="0" fillId="0" borderId="70" xfId="0" applyBorder="1"/>
    <xf numFmtId="0" fontId="3" fillId="2" borderId="24" xfId="0" applyFont="1" applyFill="1" applyBorder="1"/>
    <xf numFmtId="0" fontId="3" fillId="0" borderId="24" xfId="0" applyFont="1" applyBorder="1"/>
    <xf numFmtId="0" fontId="3" fillId="0" borderId="24" xfId="0" applyFont="1" applyBorder="1" applyAlignment="1">
      <alignment horizontal="center" vertical="center"/>
    </xf>
    <xf numFmtId="164" fontId="5" fillId="17" borderId="24" xfId="0" applyNumberFormat="1" applyFont="1" applyFill="1" applyBorder="1" applyAlignment="1">
      <alignment horizontal="center" vertical="center"/>
    </xf>
    <xf numFmtId="0" fontId="5" fillId="9" borderId="24" xfId="0" applyFont="1" applyFill="1" applyBorder="1"/>
    <xf numFmtId="0" fontId="5" fillId="9" borderId="24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vertical="center"/>
    </xf>
    <xf numFmtId="164" fontId="5" fillId="25" borderId="24" xfId="0" applyNumberFormat="1" applyFont="1" applyFill="1" applyBorder="1" applyAlignment="1">
      <alignment horizontal="center" vertical="center"/>
    </xf>
    <xf numFmtId="0" fontId="5" fillId="25" borderId="24" xfId="0" applyFont="1" applyFill="1" applyBorder="1"/>
    <xf numFmtId="0" fontId="5" fillId="25" borderId="24" xfId="0" applyFont="1" applyFill="1" applyBorder="1" applyAlignment="1">
      <alignment horizontal="left"/>
    </xf>
    <xf numFmtId="0" fontId="5" fillId="25" borderId="24" xfId="0" applyFont="1" applyFill="1" applyBorder="1" applyAlignment="1">
      <alignment horizontal="center" vertical="center"/>
    </xf>
    <xf numFmtId="164" fontId="29" fillId="25" borderId="24" xfId="0" applyNumberFormat="1" applyFont="1" applyFill="1" applyBorder="1" applyAlignment="1">
      <alignment horizontal="center" vertical="center"/>
    </xf>
    <xf numFmtId="0" fontId="5" fillId="14" borderId="24" xfId="0" applyFont="1" applyFill="1" applyBorder="1"/>
    <xf numFmtId="0" fontId="5" fillId="14" borderId="24" xfId="0" applyFont="1" applyFill="1" applyBorder="1" applyAlignment="1">
      <alignment horizontal="center" vertical="center"/>
    </xf>
    <xf numFmtId="164" fontId="5" fillId="8" borderId="24" xfId="0" applyNumberFormat="1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vertical="center"/>
    </xf>
    <xf numFmtId="0" fontId="0" fillId="15" borderId="24" xfId="0" applyFill="1" applyBorder="1"/>
    <xf numFmtId="0" fontId="5" fillId="15" borderId="24" xfId="0" applyFont="1" applyFill="1" applyBorder="1"/>
    <xf numFmtId="0" fontId="5" fillId="15" borderId="24" xfId="0" applyFont="1" applyFill="1" applyBorder="1" applyAlignment="1">
      <alignment horizontal="center" vertical="center"/>
    </xf>
    <xf numFmtId="0" fontId="5" fillId="0" borderId="24" xfId="0" applyFont="1" applyBorder="1"/>
    <xf numFmtId="0" fontId="5" fillId="9" borderId="25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25" borderId="24" xfId="0" applyFont="1" applyFill="1" applyBorder="1" applyAlignment="1">
      <alignment vertical="center"/>
    </xf>
    <xf numFmtId="0" fontId="5" fillId="25" borderId="25" xfId="0" applyFont="1" applyFill="1" applyBorder="1" applyAlignment="1">
      <alignment horizontal="center" vertical="center"/>
    </xf>
    <xf numFmtId="0" fontId="5" fillId="8" borderId="39" xfId="0" applyFont="1" applyFill="1" applyBorder="1"/>
    <xf numFmtId="0" fontId="5" fillId="8" borderId="40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vertical="center"/>
    </xf>
    <xf numFmtId="0" fontId="5" fillId="9" borderId="40" xfId="0" applyFont="1" applyFill="1" applyBorder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5" fillId="8" borderId="0" xfId="0" applyFont="1" applyFill="1"/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2" borderId="25" xfId="0" applyFont="1" applyFill="1" applyBorder="1"/>
    <xf numFmtId="0" fontId="5" fillId="21" borderId="24" xfId="0" applyFont="1" applyFill="1" applyBorder="1"/>
    <xf numFmtId="0" fontId="5" fillId="21" borderId="25" xfId="0" applyFont="1" applyFill="1" applyBorder="1"/>
    <xf numFmtId="164" fontId="5" fillId="9" borderId="24" xfId="0" applyNumberFormat="1" applyFont="1" applyFill="1" applyBorder="1" applyAlignment="1">
      <alignment horizontal="center" vertical="center"/>
    </xf>
    <xf numFmtId="164" fontId="5" fillId="26" borderId="24" xfId="0" applyNumberFormat="1" applyFont="1" applyFill="1" applyBorder="1" applyAlignment="1">
      <alignment horizontal="center" vertical="center"/>
    </xf>
    <xf numFmtId="0" fontId="5" fillId="26" borderId="24" xfId="0" applyFont="1" applyFill="1" applyBorder="1"/>
    <xf numFmtId="0" fontId="5" fillId="26" borderId="24" xfId="0" applyFont="1" applyFill="1" applyBorder="1" applyAlignment="1">
      <alignment horizontal="center" vertical="center"/>
    </xf>
    <xf numFmtId="0" fontId="0" fillId="9" borderId="24" xfId="0" applyFill="1" applyBorder="1" applyAlignment="1">
      <alignment vertical="center"/>
    </xf>
    <xf numFmtId="0" fontId="0" fillId="9" borderId="24" xfId="0" applyFill="1" applyBorder="1" applyAlignment="1">
      <alignment horizontal="center" vertical="center"/>
    </xf>
    <xf numFmtId="0" fontId="5" fillId="14" borderId="39" xfId="0" applyFont="1" applyFill="1" applyBorder="1"/>
    <xf numFmtId="0" fontId="5" fillId="14" borderId="40" xfId="0" applyFont="1" applyFill="1" applyBorder="1" applyAlignment="1">
      <alignment horizontal="center" vertical="center"/>
    </xf>
    <xf numFmtId="0" fontId="5" fillId="0" borderId="25" xfId="0" applyFont="1" applyBorder="1"/>
    <xf numFmtId="164" fontId="5" fillId="25" borderId="23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16" fontId="0" fillId="17" borderId="38" xfId="0" applyNumberFormat="1" applyFill="1" applyBorder="1"/>
    <xf numFmtId="0" fontId="5" fillId="0" borderId="39" xfId="0" applyFont="1" applyBorder="1"/>
    <xf numFmtId="0" fontId="0" fillId="9" borderId="39" xfId="0" applyFill="1" applyBorder="1" applyAlignment="1">
      <alignment vertical="center"/>
    </xf>
    <xf numFmtId="0" fontId="0" fillId="9" borderId="4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0" fillId="2" borderId="24" xfId="0" applyFont="1" applyFill="1" applyBorder="1"/>
    <xf numFmtId="0" fontId="30" fillId="2" borderId="25" xfId="0" applyFont="1" applyFill="1" applyBorder="1" applyAlignment="1">
      <alignment horizontal="left"/>
    </xf>
    <xf numFmtId="0" fontId="30" fillId="0" borderId="24" xfId="0" applyFont="1" applyBorder="1"/>
    <xf numFmtId="0" fontId="30" fillId="0" borderId="24" xfId="0" applyFont="1" applyBorder="1" applyAlignment="1">
      <alignment horizontal="center" vertical="center"/>
    </xf>
    <xf numFmtId="0" fontId="30" fillId="21" borderId="24" xfId="0" applyFont="1" applyFill="1" applyBorder="1"/>
    <xf numFmtId="0" fontId="30" fillId="21" borderId="25" xfId="0" applyFont="1" applyFill="1" applyBorder="1"/>
    <xf numFmtId="164" fontId="30" fillId="8" borderId="23" xfId="0" applyNumberFormat="1" applyFont="1" applyFill="1" applyBorder="1" applyAlignment="1">
      <alignment horizontal="left" vertical="top"/>
    </xf>
    <xf numFmtId="0" fontId="30" fillId="9" borderId="24" xfId="0" applyFont="1" applyFill="1" applyBorder="1" applyAlignment="1">
      <alignment horizontal="center" vertical="center"/>
    </xf>
    <xf numFmtId="0" fontId="30" fillId="9" borderId="25" xfId="0" applyFont="1" applyFill="1" applyBorder="1"/>
    <xf numFmtId="0" fontId="0" fillId="0" borderId="0" xfId="0" applyAlignment="1">
      <alignment horizontal="left"/>
    </xf>
    <xf numFmtId="0" fontId="30" fillId="18" borderId="24" xfId="0" applyFont="1" applyFill="1" applyBorder="1"/>
    <xf numFmtId="0" fontId="30" fillId="18" borderId="25" xfId="0" applyFont="1" applyFill="1" applyBorder="1"/>
    <xf numFmtId="0" fontId="30" fillId="8" borderId="24" xfId="0" applyFont="1" applyFill="1" applyBorder="1"/>
    <xf numFmtId="0" fontId="30" fillId="9" borderId="24" xfId="0" applyFont="1" applyFill="1" applyBorder="1" applyAlignment="1">
      <alignment horizontal="left" vertical="top"/>
    </xf>
    <xf numFmtId="164" fontId="30" fillId="8" borderId="38" xfId="0" applyNumberFormat="1" applyFont="1" applyFill="1" applyBorder="1" applyAlignment="1">
      <alignment horizontal="left" vertical="top"/>
    </xf>
    <xf numFmtId="0" fontId="30" fillId="0" borderId="39" xfId="0" applyFont="1" applyBorder="1"/>
    <xf numFmtId="0" fontId="30" fillId="9" borderId="39" xfId="0" applyFont="1" applyFill="1" applyBorder="1" applyAlignment="1">
      <alignment horizontal="center" vertical="center"/>
    </xf>
    <xf numFmtId="0" fontId="30" fillId="9" borderId="39" xfId="0" applyFont="1" applyFill="1" applyBorder="1" applyAlignment="1">
      <alignment horizontal="left" vertical="top"/>
    </xf>
    <xf numFmtId="0" fontId="30" fillId="9" borderId="40" xfId="0" applyFont="1" applyFill="1" applyBorder="1"/>
    <xf numFmtId="0" fontId="6" fillId="27" borderId="24" xfId="0" applyFont="1" applyFill="1" applyBorder="1"/>
    <xf numFmtId="0" fontId="6" fillId="27" borderId="47" xfId="0" applyFont="1" applyFill="1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0" fillId="27" borderId="26" xfId="0" applyFill="1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164" fontId="0" fillId="0" borderId="23" xfId="0" applyNumberFormat="1" applyBorder="1"/>
    <xf numFmtId="0" fontId="0" fillId="9" borderId="24" xfId="0" applyFill="1" applyBorder="1"/>
    <xf numFmtId="0" fontId="0" fillId="9" borderId="25" xfId="0" applyFill="1" applyBorder="1"/>
    <xf numFmtId="164" fontId="0" fillId="18" borderId="23" xfId="0" applyNumberFormat="1" applyFill="1" applyBorder="1"/>
    <xf numFmtId="0" fontId="0" fillId="18" borderId="24" xfId="0" applyFill="1" applyBorder="1"/>
    <xf numFmtId="0" fontId="0" fillId="18" borderId="25" xfId="0" applyFill="1" applyBorder="1"/>
    <xf numFmtId="164" fontId="0" fillId="0" borderId="38" xfId="0" applyNumberFormat="1" applyBorder="1"/>
    <xf numFmtId="0" fontId="0" fillId="9" borderId="39" xfId="0" applyFill="1" applyBorder="1"/>
    <xf numFmtId="0" fontId="0" fillId="9" borderId="40" xfId="0" applyFill="1" applyBorder="1"/>
    <xf numFmtId="0" fontId="7" fillId="8" borderId="14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/>
    </xf>
    <xf numFmtId="0" fontId="3" fillId="8" borderId="27" xfId="0" applyFont="1" applyFill="1" applyBorder="1" applyAlignment="1">
      <alignment vertical="center"/>
    </xf>
    <xf numFmtId="0" fontId="3" fillId="8" borderId="28" xfId="0" applyFont="1" applyFill="1" applyBorder="1" applyAlignment="1">
      <alignment vertical="center"/>
    </xf>
    <xf numFmtId="0" fontId="3" fillId="8" borderId="42" xfId="0" applyFont="1" applyFill="1" applyBorder="1" applyAlignment="1">
      <alignment vertical="center"/>
    </xf>
    <xf numFmtId="0" fontId="3" fillId="8" borderId="43" xfId="0" applyFont="1" applyFill="1" applyBorder="1" applyAlignment="1">
      <alignment vertical="center"/>
    </xf>
    <xf numFmtId="0" fontId="7" fillId="4" borderId="1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/>
    </xf>
    <xf numFmtId="0" fontId="3" fillId="4" borderId="27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vertical="center"/>
    </xf>
    <xf numFmtId="0" fontId="6" fillId="4" borderId="22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6" fillId="4" borderId="22" xfId="0" applyFont="1" applyFill="1" applyBorder="1"/>
    <xf numFmtId="0" fontId="6" fillId="8" borderId="41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6" fillId="10" borderId="22" xfId="0" applyFont="1" applyFill="1" applyBorder="1"/>
    <xf numFmtId="0" fontId="3" fillId="10" borderId="43" xfId="0" applyFont="1" applyFill="1" applyBorder="1" applyAlignment="1">
      <alignment vertical="center"/>
    </xf>
    <xf numFmtId="0" fontId="7" fillId="14" borderId="14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/>
    </xf>
    <xf numFmtId="0" fontId="7" fillId="14" borderId="23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5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/>
    </xf>
    <xf numFmtId="0" fontId="6" fillId="14" borderId="22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7" fillId="14" borderId="24" xfId="0" applyFont="1" applyFill="1" applyBorder="1" applyAlignment="1">
      <alignment horizontal="center" vertical="center"/>
    </xf>
    <xf numFmtId="0" fontId="7" fillId="14" borderId="38" xfId="0" applyFont="1" applyFill="1" applyBorder="1" applyAlignment="1">
      <alignment horizontal="center" vertical="center"/>
    </xf>
    <xf numFmtId="0" fontId="6" fillId="14" borderId="39" xfId="0" applyFont="1" applyFill="1" applyBorder="1" applyAlignment="1">
      <alignment horizontal="center" vertical="center"/>
    </xf>
    <xf numFmtId="0" fontId="6" fillId="14" borderId="40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0" fillId="11" borderId="45" xfId="0" applyFill="1" applyBorder="1"/>
    <xf numFmtId="0" fontId="7" fillId="28" borderId="14" xfId="0" applyFont="1" applyFill="1" applyBorder="1" applyAlignment="1">
      <alignment horizontal="center" vertical="center"/>
    </xf>
    <xf numFmtId="0" fontId="6" fillId="28" borderId="17" xfId="0" applyFont="1" applyFill="1" applyBorder="1" applyAlignment="1">
      <alignment horizontal="center" vertical="center"/>
    </xf>
    <xf numFmtId="0" fontId="6" fillId="28" borderId="18" xfId="0" applyFont="1" applyFill="1" applyBorder="1" applyAlignment="1">
      <alignment horizontal="center"/>
    </xf>
    <xf numFmtId="0" fontId="6" fillId="28" borderId="16" xfId="0" applyFont="1" applyFill="1" applyBorder="1" applyAlignment="1">
      <alignment horizontal="center"/>
    </xf>
    <xf numFmtId="0" fontId="6" fillId="28" borderId="24" xfId="0" applyFont="1" applyFill="1" applyBorder="1" applyAlignment="1">
      <alignment horizontal="center" vertical="center"/>
    </xf>
    <xf numFmtId="0" fontId="6" fillId="28" borderId="25" xfId="0" applyFont="1" applyFill="1" applyBorder="1" applyAlignment="1">
      <alignment horizontal="center" vertical="center"/>
    </xf>
    <xf numFmtId="0" fontId="6" fillId="28" borderId="22" xfId="0" applyFont="1" applyFill="1" applyBorder="1" applyAlignment="1">
      <alignment horizontal="center"/>
    </xf>
    <xf numFmtId="0" fontId="6" fillId="28" borderId="25" xfId="0" applyFont="1" applyFill="1" applyBorder="1" applyAlignment="1">
      <alignment horizontal="center"/>
    </xf>
    <xf numFmtId="0" fontId="7" fillId="28" borderId="24" xfId="0" applyFont="1" applyFill="1" applyBorder="1" applyAlignment="1">
      <alignment horizontal="center" vertical="center"/>
    </xf>
    <xf numFmtId="165" fontId="5" fillId="28" borderId="16" xfId="0" applyNumberFormat="1" applyFont="1" applyFill="1" applyBorder="1" applyAlignment="1">
      <alignment horizontal="center" vertical="center"/>
    </xf>
    <xf numFmtId="165" fontId="5" fillId="28" borderId="9" xfId="0" applyNumberFormat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29" borderId="16" xfId="0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vertical="center"/>
    </xf>
    <xf numFmtId="0" fontId="3" fillId="29" borderId="20" xfId="0" applyFont="1" applyFill="1" applyBorder="1" applyAlignment="1">
      <alignment vertical="center"/>
    </xf>
    <xf numFmtId="0" fontId="6" fillId="29" borderId="16" xfId="0" applyFont="1" applyFill="1" applyBorder="1" applyAlignment="1">
      <alignment vertical="center"/>
    </xf>
    <xf numFmtId="0" fontId="3" fillId="29" borderId="16" xfId="0" applyFont="1" applyFill="1" applyBorder="1" applyAlignment="1">
      <alignment vertical="center"/>
    </xf>
    <xf numFmtId="0" fontId="3" fillId="29" borderId="22" xfId="0" applyFont="1" applyFill="1" applyBorder="1" applyAlignment="1">
      <alignment horizontal="center" vertical="center"/>
    </xf>
    <xf numFmtId="0" fontId="3" fillId="29" borderId="27" xfId="0" applyFont="1" applyFill="1" applyBorder="1" applyAlignment="1">
      <alignment vertical="center"/>
    </xf>
    <xf numFmtId="0" fontId="3" fillId="29" borderId="28" xfId="0" applyFont="1" applyFill="1" applyBorder="1" applyAlignment="1">
      <alignment vertical="center"/>
    </xf>
    <xf numFmtId="0" fontId="6" fillId="29" borderId="22" xfId="0" applyFont="1" applyFill="1" applyBorder="1" applyAlignment="1">
      <alignment vertical="center"/>
    </xf>
    <xf numFmtId="0" fontId="3" fillId="29" borderId="22" xfId="0" applyFont="1" applyFill="1" applyBorder="1" applyAlignment="1">
      <alignment vertical="center"/>
    </xf>
    <xf numFmtId="0" fontId="6" fillId="29" borderId="22" xfId="0" applyFont="1" applyFill="1" applyBorder="1" applyAlignment="1">
      <alignment horizontal="center" vertical="center"/>
    </xf>
    <xf numFmtId="17" fontId="4" fillId="30" borderId="6" xfId="0" applyNumberFormat="1" applyFont="1" applyFill="1" applyBorder="1" applyAlignment="1">
      <alignment horizontal="center" vertical="center"/>
    </xf>
    <xf numFmtId="0" fontId="6" fillId="30" borderId="6" xfId="0" applyFont="1" applyFill="1" applyBorder="1"/>
    <xf numFmtId="0" fontId="6" fillId="8" borderId="77" xfId="0" applyFont="1" applyFill="1" applyBorder="1" applyAlignment="1">
      <alignment horizontal="center" vertical="center"/>
    </xf>
    <xf numFmtId="165" fontId="5" fillId="28" borderId="6" xfId="0" applyNumberFormat="1" applyFont="1" applyFill="1" applyBorder="1" applyAlignment="1">
      <alignment horizontal="center" vertical="center"/>
    </xf>
    <xf numFmtId="165" fontId="5" fillId="8" borderId="0" xfId="0" applyNumberFormat="1" applyFont="1" applyFill="1" applyAlignment="1">
      <alignment horizontal="center" vertical="center"/>
    </xf>
    <xf numFmtId="165" fontId="5" fillId="8" borderId="6" xfId="0" applyNumberFormat="1" applyFont="1" applyFill="1" applyBorder="1" applyAlignment="1">
      <alignment horizontal="center" vertical="center"/>
    </xf>
    <xf numFmtId="165" fontId="5" fillId="28" borderId="15" xfId="0" applyNumberFormat="1" applyFont="1" applyFill="1" applyBorder="1" applyAlignment="1">
      <alignment horizontal="center" vertical="center"/>
    </xf>
    <xf numFmtId="0" fontId="3" fillId="31" borderId="11" xfId="0" applyFont="1" applyFill="1" applyBorder="1" applyAlignment="1">
      <alignment horizontal="center" vertical="center"/>
    </xf>
    <xf numFmtId="0" fontId="3" fillId="31" borderId="12" xfId="0" applyFont="1" applyFill="1" applyBorder="1" applyAlignment="1">
      <alignment horizontal="center" vertical="center"/>
    </xf>
    <xf numFmtId="0" fontId="3" fillId="31" borderId="13" xfId="0" applyFont="1" applyFill="1" applyBorder="1" applyAlignment="1">
      <alignment horizontal="center" vertical="center"/>
    </xf>
    <xf numFmtId="0" fontId="3" fillId="31" borderId="6" xfId="0" applyFont="1" applyFill="1" applyBorder="1" applyAlignment="1">
      <alignment horizontal="center" vertical="center"/>
    </xf>
    <xf numFmtId="0" fontId="3" fillId="31" borderId="1" xfId="0" applyFont="1" applyFill="1" applyBorder="1"/>
    <xf numFmtId="17" fontId="4" fillId="25" borderId="6" xfId="0" applyNumberFormat="1" applyFont="1" applyFill="1" applyBorder="1" applyAlignment="1">
      <alignment horizontal="center" vertical="center"/>
    </xf>
    <xf numFmtId="0" fontId="41" fillId="0" borderId="14" xfId="0" applyFont="1" applyBorder="1"/>
    <xf numFmtId="0" fontId="41" fillId="8" borderId="17" xfId="0" applyFont="1" applyFill="1" applyBorder="1" applyAlignment="1">
      <alignment vertical="center"/>
    </xf>
    <xf numFmtId="0" fontId="41" fillId="0" borderId="23" xfId="0" applyFont="1" applyBorder="1"/>
    <xf numFmtId="0" fontId="41" fillId="0" borderId="24" xfId="0" applyFont="1" applyBorder="1"/>
    <xf numFmtId="0" fontId="41" fillId="9" borderId="23" xfId="0" applyFont="1" applyFill="1" applyBorder="1"/>
    <xf numFmtId="0" fontId="41" fillId="9" borderId="24" xfId="0" applyFont="1" applyFill="1" applyBorder="1"/>
    <xf numFmtId="0" fontId="41" fillId="0" borderId="39" xfId="0" applyFont="1" applyBorder="1"/>
    <xf numFmtId="0" fontId="6" fillId="8" borderId="39" xfId="0" applyFont="1" applyFill="1" applyBorder="1"/>
    <xf numFmtId="0" fontId="6" fillId="25" borderId="6" xfId="0" applyFont="1" applyFill="1" applyBorder="1"/>
    <xf numFmtId="0" fontId="41" fillId="0" borderId="17" xfId="0" applyFont="1" applyBorder="1"/>
    <xf numFmtId="0" fontId="43" fillId="8" borderId="16" xfId="0" applyFont="1" applyFill="1" applyBorder="1" applyAlignment="1">
      <alignment vertical="center"/>
    </xf>
    <xf numFmtId="0" fontId="43" fillId="8" borderId="20" xfId="0" applyFont="1" applyFill="1" applyBorder="1" applyAlignment="1">
      <alignment vertical="center"/>
    </xf>
    <xf numFmtId="0" fontId="41" fillId="8" borderId="16" xfId="0" applyFont="1" applyFill="1" applyBorder="1" applyAlignment="1">
      <alignment vertical="center"/>
    </xf>
    <xf numFmtId="0" fontId="43" fillId="8" borderId="22" xfId="0" applyFont="1" applyFill="1" applyBorder="1" applyAlignment="1">
      <alignment vertical="center"/>
    </xf>
    <xf numFmtId="0" fontId="43" fillId="8" borderId="28" xfId="0" applyFont="1" applyFill="1" applyBorder="1" applyAlignment="1">
      <alignment vertical="center"/>
    </xf>
    <xf numFmtId="0" fontId="41" fillId="8" borderId="22" xfId="0" applyFont="1" applyFill="1" applyBorder="1" applyAlignment="1">
      <alignment vertical="center"/>
    </xf>
    <xf numFmtId="0" fontId="43" fillId="30" borderId="22" xfId="0" applyFont="1" applyFill="1" applyBorder="1" applyAlignment="1">
      <alignment vertical="center"/>
    </xf>
    <xf numFmtId="0" fontId="42" fillId="8" borderId="23" xfId="0" applyFont="1" applyFill="1" applyBorder="1" applyAlignment="1">
      <alignment vertical="center"/>
    </xf>
    <xf numFmtId="0" fontId="41" fillId="8" borderId="24" xfId="0" applyFont="1" applyFill="1" applyBorder="1"/>
    <xf numFmtId="0" fontId="42" fillId="9" borderId="23" xfId="0" applyFont="1" applyFill="1" applyBorder="1" applyAlignment="1">
      <alignment vertical="center"/>
    </xf>
    <xf numFmtId="0" fontId="41" fillId="30" borderId="22" xfId="0" applyFont="1" applyFill="1" applyBorder="1" applyAlignment="1">
      <alignment vertical="center"/>
    </xf>
    <xf numFmtId="0" fontId="41" fillId="8" borderId="22" xfId="0" applyFont="1" applyFill="1" applyBorder="1"/>
    <xf numFmtId="0" fontId="41" fillId="8" borderId="30" xfId="0" applyFont="1" applyFill="1" applyBorder="1" applyAlignment="1">
      <alignment vertical="center"/>
    </xf>
    <xf numFmtId="0" fontId="41" fillId="8" borderId="21" xfId="0" applyFont="1" applyFill="1" applyBorder="1" applyAlignment="1">
      <alignment vertical="center"/>
    </xf>
    <xf numFmtId="0" fontId="41" fillId="30" borderId="21" xfId="0" applyFont="1" applyFill="1" applyBorder="1" applyAlignment="1">
      <alignment vertical="center"/>
    </xf>
    <xf numFmtId="0" fontId="41" fillId="8" borderId="29" xfId="0" applyFont="1" applyFill="1" applyBorder="1" applyAlignment="1">
      <alignment vertical="center"/>
    </xf>
    <xf numFmtId="0" fontId="3" fillId="8" borderId="30" xfId="0" applyFont="1" applyFill="1" applyBorder="1" applyAlignment="1">
      <alignment vertical="center"/>
    </xf>
    <xf numFmtId="0" fontId="3" fillId="30" borderId="21" xfId="0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41" fillId="0" borderId="30" xfId="0" applyFont="1" applyBorder="1"/>
    <xf numFmtId="0" fontId="41" fillId="0" borderId="21" xfId="0" applyFont="1" applyBorder="1"/>
    <xf numFmtId="0" fontId="41" fillId="30" borderId="21" xfId="0" applyFont="1" applyFill="1" applyBorder="1"/>
    <xf numFmtId="0" fontId="0" fillId="0" borderId="29" xfId="0" applyBorder="1"/>
    <xf numFmtId="0" fontId="41" fillId="0" borderId="18" xfId="0" applyFont="1" applyBorder="1"/>
    <xf numFmtId="0" fontId="41" fillId="0" borderId="25" xfId="0" applyFont="1" applyBorder="1"/>
    <xf numFmtId="0" fontId="41" fillId="9" borderId="25" xfId="0" applyFont="1" applyFill="1" applyBorder="1"/>
    <xf numFmtId="0" fontId="1" fillId="0" borderId="39" xfId="0" applyFont="1" applyBorder="1"/>
    <xf numFmtId="0" fontId="1" fillId="0" borderId="40" xfId="0" applyFont="1" applyBorder="1"/>
    <xf numFmtId="0" fontId="0" fillId="18" borderId="47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14" fontId="6" fillId="27" borderId="11" xfId="0" applyNumberFormat="1" applyFont="1" applyFill="1" applyBorder="1" applyAlignment="1">
      <alignment horizontal="center" vertical="center"/>
    </xf>
    <xf numFmtId="14" fontId="6" fillId="27" borderId="71" xfId="0" applyNumberFormat="1" applyFont="1" applyFill="1" applyBorder="1" applyAlignment="1">
      <alignment horizontal="center" vertical="center"/>
    </xf>
    <xf numFmtId="14" fontId="6" fillId="27" borderId="52" xfId="0" applyNumberFormat="1" applyFont="1" applyFill="1" applyBorder="1" applyAlignment="1">
      <alignment horizontal="center" vertical="center"/>
    </xf>
    <xf numFmtId="0" fontId="6" fillId="27" borderId="61" xfId="0" applyFont="1" applyFill="1" applyBorder="1" applyAlignment="1">
      <alignment horizontal="center" vertical="center"/>
    </xf>
    <xf numFmtId="0" fontId="6" fillId="27" borderId="5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7" borderId="44" xfId="0" applyFont="1" applyFill="1" applyBorder="1" applyAlignment="1">
      <alignment horizontal="center"/>
    </xf>
    <xf numFmtId="0" fontId="6" fillId="27" borderId="30" xfId="0" applyFont="1" applyFill="1" applyBorder="1" applyAlignment="1">
      <alignment horizontal="center"/>
    </xf>
    <xf numFmtId="0" fontId="6" fillId="27" borderId="19" xfId="0" applyFont="1" applyFill="1" applyBorder="1" applyAlignment="1">
      <alignment horizontal="center"/>
    </xf>
    <xf numFmtId="0" fontId="0" fillId="27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30" fillId="0" borderId="14" xfId="0" applyNumberFormat="1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2" borderId="24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18" xfId="0" applyFont="1" applyFill="1" applyBorder="1" applyAlignment="1">
      <alignment horizontal="center"/>
    </xf>
    <xf numFmtId="0" fontId="30" fillId="18" borderId="47" xfId="0" applyFont="1" applyFill="1" applyBorder="1" applyAlignment="1">
      <alignment horizontal="center" vertical="center"/>
    </xf>
    <xf numFmtId="0" fontId="30" fillId="18" borderId="21" xfId="0" applyFont="1" applyFill="1" applyBorder="1" applyAlignment="1">
      <alignment horizontal="center" vertical="center"/>
    </xf>
    <xf numFmtId="0" fontId="30" fillId="18" borderId="26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25" borderId="24" xfId="0" applyFont="1" applyFill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5" fillId="0" borderId="23" xfId="0" applyNumberFormat="1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5" fillId="14" borderId="49" xfId="0" applyFont="1" applyFill="1" applyBorder="1" applyAlignment="1">
      <alignment horizontal="center" vertical="center"/>
    </xf>
    <xf numFmtId="0" fontId="5" fillId="14" borderId="29" xfId="0" applyFont="1" applyFill="1" applyBorder="1" applyAlignment="1">
      <alignment horizontal="center" vertical="center"/>
    </xf>
    <xf numFmtId="0" fontId="5" fillId="14" borderId="4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5" fillId="26" borderId="47" xfId="0" applyFont="1" applyFill="1" applyBorder="1" applyAlignment="1">
      <alignment horizontal="center" vertical="center"/>
    </xf>
    <xf numFmtId="0" fontId="5" fillId="26" borderId="21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5" fillId="25" borderId="47" xfId="0" applyFont="1" applyFill="1" applyBorder="1" applyAlignment="1">
      <alignment horizontal="center" vertical="center"/>
    </xf>
    <xf numFmtId="0" fontId="5" fillId="25" borderId="21" xfId="0" applyFont="1" applyFill="1" applyBorder="1" applyAlignment="1">
      <alignment horizontal="center" vertical="center"/>
    </xf>
    <xf numFmtId="0" fontId="5" fillId="25" borderId="26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71" xfId="0" applyNumberFormat="1" applyFont="1" applyBorder="1" applyAlignment="1">
      <alignment horizontal="center" vertical="center"/>
    </xf>
    <xf numFmtId="14" fontId="3" fillId="0" borderId="5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5" borderId="47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5" xfId="0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14" fontId="3" fillId="0" borderId="67" xfId="0" applyNumberFormat="1" applyFont="1" applyBorder="1" applyAlignment="1">
      <alignment horizontal="center" vertical="center"/>
    </xf>
    <xf numFmtId="0" fontId="3" fillId="2" borderId="78" xfId="0" applyFont="1" applyFill="1" applyBorder="1" applyAlignment="1">
      <alignment horizontal="center" vertical="center"/>
    </xf>
    <xf numFmtId="0" fontId="0" fillId="0" borderId="53" xfId="0" applyBorder="1"/>
    <xf numFmtId="0" fontId="0" fillId="0" borderId="24" xfId="0" applyBorder="1"/>
    <xf numFmtId="0" fontId="0" fillId="0" borderId="47" xfId="0" applyBorder="1"/>
    <xf numFmtId="0" fontId="0" fillId="0" borderId="21" xfId="0" applyBorder="1"/>
    <xf numFmtId="0" fontId="0" fillId="0" borderId="26" xfId="0" applyBorder="1"/>
    <xf numFmtId="0" fontId="0" fillId="0" borderId="4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4" borderId="0" xfId="0" applyFill="1" applyAlignment="1">
      <alignment horizontal="center"/>
    </xf>
    <xf numFmtId="0" fontId="5" fillId="10" borderId="47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0" fillId="15" borderId="46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69" xfId="0" applyFill="1" applyBorder="1" applyAlignment="1">
      <alignment horizontal="center"/>
    </xf>
    <xf numFmtId="0" fontId="0" fillId="15" borderId="45" xfId="0" applyFill="1" applyBorder="1" applyAlignment="1">
      <alignment horizontal="center"/>
    </xf>
    <xf numFmtId="0" fontId="3" fillId="2" borderId="7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0" fontId="18" fillId="2" borderId="59" xfId="0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/>
    </xf>
    <xf numFmtId="0" fontId="18" fillId="2" borderId="72" xfId="0" applyFont="1" applyFill="1" applyBorder="1" applyAlignment="1">
      <alignment horizontal="center" vertical="center"/>
    </xf>
    <xf numFmtId="0" fontId="18" fillId="2" borderId="79" xfId="0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8" borderId="47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47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/>
    </xf>
    <xf numFmtId="0" fontId="3" fillId="8" borderId="41" xfId="0" applyFont="1" applyFill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18" fillId="2" borderId="58" xfId="0" applyFont="1" applyFill="1" applyBorder="1" applyAlignment="1">
      <alignment horizontal="center" vertical="center"/>
    </xf>
    <xf numFmtId="0" fontId="18" fillId="2" borderId="67" xfId="0" applyFont="1" applyFill="1" applyBorder="1" applyAlignment="1">
      <alignment horizontal="center" vertical="center"/>
    </xf>
    <xf numFmtId="0" fontId="28" fillId="0" borderId="68" xfId="0" applyFont="1" applyBorder="1" applyAlignment="1">
      <alignment horizontal="center"/>
    </xf>
    <xf numFmtId="0" fontId="28" fillId="0" borderId="7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6" fillId="8" borderId="47" xfId="0" applyFont="1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43" fontId="3" fillId="8" borderId="47" xfId="1" applyFont="1" applyFill="1" applyBorder="1" applyAlignment="1">
      <alignment horizontal="center"/>
    </xf>
    <xf numFmtId="43" fontId="3" fillId="8" borderId="26" xfId="1" applyFont="1" applyFill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3" fillId="8" borderId="44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8" borderId="42" xfId="0" applyFont="1" applyFill="1" applyBorder="1" applyAlignment="1">
      <alignment horizontal="center"/>
    </xf>
    <xf numFmtId="0" fontId="3" fillId="8" borderId="43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3" fillId="8" borderId="27" xfId="0" applyFont="1" applyFill="1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/>
    </xf>
    <xf numFmtId="43" fontId="3" fillId="8" borderId="27" xfId="1" applyFont="1" applyFill="1" applyBorder="1" applyAlignment="1">
      <alignment horizontal="center"/>
    </xf>
    <xf numFmtId="43" fontId="3" fillId="8" borderId="28" xfId="1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45" xfId="0" applyFont="1" applyFill="1" applyBorder="1" applyAlignment="1">
      <alignment horizontal="center"/>
    </xf>
    <xf numFmtId="0" fontId="19" fillId="2" borderId="46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6" fillId="8" borderId="21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9" fillId="7" borderId="0" xfId="0" applyFont="1" applyFill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5" fillId="0" borderId="47" xfId="0" applyFont="1" applyBorder="1"/>
    <xf numFmtId="0" fontId="25" fillId="0" borderId="28" xfId="0" applyFont="1" applyBorder="1"/>
    <xf numFmtId="0" fontId="0" fillId="15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4" xfId="0" applyBorder="1" applyAlignment="1">
      <alignment horizontal="center"/>
    </xf>
    <xf numFmtId="0" fontId="3" fillId="8" borderId="23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horizontal="center" vertical="center"/>
    </xf>
    <xf numFmtId="0" fontId="3" fillId="17" borderId="25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0" fillId="17" borderId="23" xfId="0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18" xfId="0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9" fillId="2" borderId="1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14" fontId="3" fillId="0" borderId="73" xfId="0" applyNumberFormat="1" applyFont="1" applyBorder="1" applyAlignment="1">
      <alignment horizontal="center" vertical="center"/>
    </xf>
    <xf numFmtId="0" fontId="0" fillId="8" borderId="3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19" fillId="2" borderId="8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9" fillId="7" borderId="45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75" xfId="0" applyFont="1" applyFill="1" applyBorder="1" applyAlignment="1">
      <alignment horizontal="center"/>
    </xf>
    <xf numFmtId="0" fontId="3" fillId="17" borderId="29" xfId="0" applyFont="1" applyFill="1" applyBorder="1" applyAlignment="1">
      <alignment horizontal="center" vertical="center"/>
    </xf>
    <xf numFmtId="0" fontId="3" fillId="17" borderId="43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7" borderId="28" xfId="0" applyFont="1" applyFill="1" applyBorder="1" applyAlignment="1">
      <alignment horizontal="center" vertical="center"/>
    </xf>
    <xf numFmtId="0" fontId="6" fillId="0" borderId="27" xfId="0" applyFont="1" applyBorder="1"/>
    <xf numFmtId="0" fontId="6" fillId="0" borderId="26" xfId="0" applyFont="1" applyBorder="1"/>
    <xf numFmtId="0" fontId="6" fillId="0" borderId="2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23" borderId="21" xfId="0" applyFont="1" applyFill="1" applyBorder="1" applyAlignment="1">
      <alignment horizontal="center" vertical="center"/>
    </xf>
    <xf numFmtId="0" fontId="3" fillId="23" borderId="28" xfId="0" applyFont="1" applyFill="1" applyBorder="1" applyAlignment="1">
      <alignment horizontal="center" vertical="center"/>
    </xf>
    <xf numFmtId="0" fontId="6" fillId="0" borderId="47" xfId="0" applyFont="1" applyBorder="1"/>
    <xf numFmtId="0" fontId="6" fillId="0" borderId="28" xfId="0" applyFont="1" applyBorder="1"/>
    <xf numFmtId="0" fontId="3" fillId="23" borderId="29" xfId="0" applyFont="1" applyFill="1" applyBorder="1" applyAlignment="1">
      <alignment horizontal="center" vertical="center"/>
    </xf>
    <xf numFmtId="0" fontId="3" fillId="23" borderId="43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/>
    </xf>
    <xf numFmtId="0" fontId="3" fillId="20" borderId="29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3" fillId="20" borderId="27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3" fillId="20" borderId="28" xfId="0" applyFont="1" applyFill="1" applyBorder="1" applyAlignment="1">
      <alignment horizontal="center" vertical="center"/>
    </xf>
    <xf numFmtId="0" fontId="0" fillId="11" borderId="42" xfId="0" applyFill="1" applyBorder="1"/>
    <xf numFmtId="0" fontId="0" fillId="11" borderId="43" xfId="0" applyFill="1" applyBorder="1"/>
    <xf numFmtId="14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0" fillId="11" borderId="27" xfId="0" applyFill="1" applyBorder="1"/>
    <xf numFmtId="0" fontId="0" fillId="11" borderId="28" xfId="0" applyFill="1" applyBorder="1"/>
    <xf numFmtId="0" fontId="0" fillId="0" borderId="68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11" borderId="15" xfId="0" applyFill="1" applyBorder="1"/>
    <xf numFmtId="0" fontId="0" fillId="11" borderId="20" xfId="0" applyFill="1" applyBorder="1"/>
    <xf numFmtId="0" fontId="0" fillId="10" borderId="27" xfId="0" applyFill="1" applyBorder="1"/>
    <xf numFmtId="0" fontId="0" fillId="10" borderId="21" xfId="0" applyFill="1" applyBorder="1"/>
    <xf numFmtId="0" fontId="0" fillId="16" borderId="27" xfId="0" applyFill="1" applyBorder="1"/>
    <xf numFmtId="0" fontId="0" fillId="16" borderId="21" xfId="0" applyFill="1" applyBorder="1"/>
    <xf numFmtId="164" fontId="5" fillId="3" borderId="7" xfId="0" applyNumberFormat="1" applyFont="1" applyFill="1" applyBorder="1" applyAlignment="1">
      <alignment horizontal="center" vertical="center"/>
    </xf>
    <xf numFmtId="164" fontId="5" fillId="3" borderId="4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164" fontId="3" fillId="20" borderId="7" xfId="0" applyNumberFormat="1" applyFont="1" applyFill="1" applyBorder="1" applyAlignment="1">
      <alignment horizontal="center" vertical="center"/>
    </xf>
    <xf numFmtId="164" fontId="3" fillId="20" borderId="45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6" fillId="20" borderId="15" xfId="0" applyFont="1" applyFill="1" applyBorder="1" applyAlignment="1">
      <alignment horizontal="center" vertical="center"/>
    </xf>
    <xf numFmtId="0" fontId="6" fillId="20" borderId="30" xfId="0" applyFont="1" applyFill="1" applyBorder="1" applyAlignment="1">
      <alignment horizontal="center" vertical="center"/>
    </xf>
    <xf numFmtId="0" fontId="6" fillId="20" borderId="20" xfId="0" applyFont="1" applyFill="1" applyBorder="1" applyAlignment="1">
      <alignment horizontal="center" vertical="center"/>
    </xf>
    <xf numFmtId="0" fontId="3" fillId="20" borderId="15" xfId="0" applyFont="1" applyFill="1" applyBorder="1" applyAlignment="1">
      <alignment horizontal="center" vertical="center"/>
    </xf>
    <xf numFmtId="0" fontId="3" fillId="20" borderId="3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6" fillId="20" borderId="27" xfId="0" applyFont="1" applyFill="1" applyBorder="1" applyAlignment="1">
      <alignment horizontal="center"/>
    </xf>
    <xf numFmtId="0" fontId="6" fillId="20" borderId="21" xfId="0" applyFont="1" applyFill="1" applyBorder="1" applyAlignment="1">
      <alignment horizontal="center"/>
    </xf>
    <xf numFmtId="0" fontId="6" fillId="20" borderId="2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6" fillId="0" borderId="62" xfId="0" applyNumberFormat="1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20" borderId="7" xfId="0" applyFont="1" applyFill="1" applyBorder="1" applyAlignment="1">
      <alignment horizontal="center"/>
    </xf>
    <xf numFmtId="0" fontId="3" fillId="20" borderId="45" xfId="0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33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18" borderId="4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63" xfId="0" applyNumberFormat="1" applyFont="1" applyFill="1" applyBorder="1" applyAlignment="1">
      <alignment horizontal="center" vertical="center"/>
    </xf>
    <xf numFmtId="0" fontId="6" fillId="20" borderId="73" xfId="0" applyFont="1" applyFill="1" applyBorder="1" applyAlignment="1">
      <alignment horizontal="center" vertical="center"/>
    </xf>
    <xf numFmtId="0" fontId="6" fillId="20" borderId="62" xfId="0" applyFont="1" applyFill="1" applyBorder="1" applyAlignment="1">
      <alignment horizontal="center" vertical="center"/>
    </xf>
    <xf numFmtId="0" fontId="6" fillId="20" borderId="63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20" borderId="24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0" fillId="20" borderId="73" xfId="0" applyFill="1" applyBorder="1" applyAlignment="1">
      <alignment horizontal="center"/>
    </xf>
    <xf numFmtId="0" fontId="0" fillId="20" borderId="62" xfId="0" applyFill="1" applyBorder="1" applyAlignment="1">
      <alignment horizontal="center"/>
    </xf>
    <xf numFmtId="0" fontId="0" fillId="20" borderId="63" xfId="0" applyFill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23" xfId="0" applyFont="1" applyFill="1" applyBorder="1" applyAlignment="1">
      <alignment horizontal="center" vertical="center"/>
    </xf>
    <xf numFmtId="0" fontId="6" fillId="20" borderId="24" xfId="0" applyFont="1" applyFill="1" applyBorder="1" applyAlignment="1">
      <alignment horizontal="center" vertical="center"/>
    </xf>
    <xf numFmtId="0" fontId="6" fillId="20" borderId="25" xfId="0" applyFont="1" applyFill="1" applyBorder="1" applyAlignment="1">
      <alignment horizontal="center" vertical="center"/>
    </xf>
    <xf numFmtId="0" fontId="0" fillId="16" borderId="42" xfId="0" applyFill="1" applyBorder="1"/>
    <xf numFmtId="0" fontId="0" fillId="16" borderId="43" xfId="0" applyFill="1" applyBorder="1"/>
    <xf numFmtId="0" fontId="0" fillId="10" borderId="28" xfId="0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0" fontId="4" fillId="17" borderId="8" xfId="0" applyFont="1" applyFill="1" applyBorder="1" applyAlignment="1">
      <alignment horizontal="center" vertical="center"/>
    </xf>
    <xf numFmtId="0" fontId="4" fillId="17" borderId="4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45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0" borderId="0" xfId="0"/>
    <xf numFmtId="0" fontId="8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4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30" borderId="3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/>
    </xf>
    <xf numFmtId="0" fontId="7" fillId="30" borderId="2" xfId="0" applyFont="1" applyFill="1" applyBorder="1" applyAlignment="1">
      <alignment horizontal="center"/>
    </xf>
    <xf numFmtId="0" fontId="7" fillId="30" borderId="3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center" vertical="center"/>
    </xf>
    <xf numFmtId="0" fontId="4" fillId="31" borderId="7" xfId="0" applyFont="1" applyFill="1" applyBorder="1" applyAlignment="1">
      <alignment horizontal="center" vertical="center"/>
    </xf>
    <xf numFmtId="0" fontId="4" fillId="31" borderId="8" xfId="0" applyFont="1" applyFill="1" applyBorder="1" applyAlignment="1">
      <alignment horizontal="center" vertical="center"/>
    </xf>
    <xf numFmtId="0" fontId="4" fillId="31" borderId="45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/>
    </xf>
    <xf numFmtId="0" fontId="7" fillId="25" borderId="2" xfId="0" applyFont="1" applyFill="1" applyBorder="1" applyAlignment="1">
      <alignment horizontal="center"/>
    </xf>
    <xf numFmtId="0" fontId="7" fillId="25" borderId="3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CEFDFE"/>
      <color rgb="FFFFFF99"/>
      <color rgb="FFFF3399"/>
      <color rgb="FFFF7C8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</xdr:row>
      <xdr:rowOff>66675</xdr:rowOff>
    </xdr:from>
    <xdr:to>
      <xdr:col>0</xdr:col>
      <xdr:colOff>1150620</xdr:colOff>
      <xdr:row>6</xdr:row>
      <xdr:rowOff>121920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0" y="447675"/>
          <a:ext cx="826770" cy="826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342900</xdr:colOff>
      <xdr:row>2</xdr:row>
      <xdr:rowOff>57150</xdr:rowOff>
    </xdr:from>
    <xdr:to>
      <xdr:col>6</xdr:col>
      <xdr:colOff>407670</xdr:colOff>
      <xdr:row>6</xdr:row>
      <xdr:rowOff>112395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48275" y="438150"/>
          <a:ext cx="826770" cy="8267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116395</xdr:colOff>
      <xdr:row>2</xdr:row>
      <xdr:rowOff>47625</xdr:rowOff>
    </xdr:from>
    <xdr:to>
      <xdr:col>0</xdr:col>
      <xdr:colOff>952501</xdr:colOff>
      <xdr:row>3</xdr:row>
      <xdr:rowOff>323851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205" y="428625"/>
          <a:ext cx="83629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504825</xdr:colOff>
      <xdr:row>2</xdr:row>
      <xdr:rowOff>66676</xdr:rowOff>
    </xdr:from>
    <xdr:to>
      <xdr:col>6</xdr:col>
      <xdr:colOff>723900</xdr:colOff>
      <xdr:row>3</xdr:row>
      <xdr:rowOff>333288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05475" y="447675"/>
          <a:ext cx="857250" cy="532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219075</xdr:colOff>
      <xdr:row>2</xdr:row>
      <xdr:rowOff>66675</xdr:rowOff>
    </xdr:from>
    <xdr:to>
      <xdr:col>0</xdr:col>
      <xdr:colOff>1162050</xdr:colOff>
      <xdr:row>5</xdr:row>
      <xdr:rowOff>190500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9075" y="447675"/>
          <a:ext cx="942975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283844</xdr:colOff>
      <xdr:row>2</xdr:row>
      <xdr:rowOff>76199</xdr:rowOff>
    </xdr:from>
    <xdr:to>
      <xdr:col>6</xdr:col>
      <xdr:colOff>598170</xdr:colOff>
      <xdr:row>6</xdr:row>
      <xdr:rowOff>9525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3860" y="456565"/>
          <a:ext cx="953135" cy="9531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47626</xdr:rowOff>
    </xdr:from>
    <xdr:to>
      <xdr:col>0</xdr:col>
      <xdr:colOff>1341120</xdr:colOff>
      <xdr:row>3</xdr:row>
      <xdr:rowOff>142876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" y="238125"/>
          <a:ext cx="82677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371475</xdr:colOff>
      <xdr:row>0</xdr:row>
      <xdr:rowOff>161926</xdr:rowOff>
    </xdr:from>
    <xdr:to>
      <xdr:col>6</xdr:col>
      <xdr:colOff>407670</xdr:colOff>
      <xdr:row>3</xdr:row>
      <xdr:rowOff>104776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0" y="161925"/>
          <a:ext cx="82677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171451</xdr:rowOff>
    </xdr:from>
    <xdr:to>
      <xdr:col>0</xdr:col>
      <xdr:colOff>1312545</xdr:colOff>
      <xdr:row>4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775" y="171450"/>
          <a:ext cx="826770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371475</xdr:colOff>
      <xdr:row>0</xdr:row>
      <xdr:rowOff>161925</xdr:rowOff>
    </xdr:from>
    <xdr:to>
      <xdr:col>6</xdr:col>
      <xdr:colOff>502920</xdr:colOff>
      <xdr:row>4</xdr:row>
      <xdr:rowOff>66674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61925"/>
          <a:ext cx="826770" cy="666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453108</xdr:colOff>
      <xdr:row>0</xdr:row>
      <xdr:rowOff>123825</xdr:rowOff>
    </xdr:from>
    <xdr:to>
      <xdr:col>0</xdr:col>
      <xdr:colOff>1341120</xdr:colOff>
      <xdr:row>3</xdr:row>
      <xdr:rowOff>104774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755" y="123825"/>
          <a:ext cx="888365" cy="551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371475</xdr:colOff>
      <xdr:row>0</xdr:row>
      <xdr:rowOff>161926</xdr:rowOff>
    </xdr:from>
    <xdr:to>
      <xdr:col>6</xdr:col>
      <xdr:colOff>493395</xdr:colOff>
      <xdr:row>3</xdr:row>
      <xdr:rowOff>104776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161925"/>
          <a:ext cx="82677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453108</xdr:colOff>
      <xdr:row>0</xdr:row>
      <xdr:rowOff>123825</xdr:rowOff>
    </xdr:from>
    <xdr:to>
      <xdr:col>0</xdr:col>
      <xdr:colOff>1341120</xdr:colOff>
      <xdr:row>3</xdr:row>
      <xdr:rowOff>104774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755" y="123825"/>
          <a:ext cx="888365" cy="551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371475</xdr:colOff>
      <xdr:row>0</xdr:row>
      <xdr:rowOff>161926</xdr:rowOff>
    </xdr:from>
    <xdr:to>
      <xdr:col>6</xdr:col>
      <xdr:colOff>436245</xdr:colOff>
      <xdr:row>3</xdr:row>
      <xdr:rowOff>104776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67325" y="161925"/>
          <a:ext cx="798195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453108</xdr:colOff>
      <xdr:row>0</xdr:row>
      <xdr:rowOff>123825</xdr:rowOff>
    </xdr:from>
    <xdr:ext cx="888012" cy="69532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755" y="123825"/>
          <a:ext cx="888365" cy="6953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371475</xdr:colOff>
      <xdr:row>0</xdr:row>
      <xdr:rowOff>131111</xdr:rowOff>
    </xdr:from>
    <xdr:ext cx="876300" cy="745189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130810"/>
          <a:ext cx="876300" cy="7454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291183</xdr:colOff>
      <xdr:row>0</xdr:row>
      <xdr:rowOff>66675</xdr:rowOff>
    </xdr:from>
    <xdr:ext cx="888012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830" y="66675"/>
          <a:ext cx="888365" cy="55181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371475</xdr:colOff>
      <xdr:row>0</xdr:row>
      <xdr:rowOff>131112</xdr:rowOff>
    </xdr:from>
    <xdr:ext cx="876300" cy="545164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57775" y="130810"/>
          <a:ext cx="876300" cy="54546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28575</xdr:rowOff>
    </xdr:from>
    <xdr:ext cx="212407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19075"/>
          <a:ext cx="212407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142875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0" y="142875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76200</xdr:rowOff>
    </xdr:from>
    <xdr:ext cx="1495425" cy="55244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66700"/>
          <a:ext cx="1495425" cy="5518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1495425" cy="752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0"/>
          <a:ext cx="1495425" cy="7524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28575</xdr:rowOff>
    </xdr:from>
    <xdr:ext cx="1495425" cy="752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3825" y="28575"/>
          <a:ext cx="1495425" cy="7524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123825</xdr:rowOff>
    </xdr:from>
    <xdr:ext cx="1247775" cy="752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5" y="123825"/>
          <a:ext cx="1247775" cy="7524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28575</xdr:rowOff>
    </xdr:from>
    <xdr:ext cx="1495425" cy="752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3825" y="28575"/>
          <a:ext cx="1495425" cy="7524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38100</xdr:rowOff>
    </xdr:from>
    <xdr:ext cx="1247775" cy="752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38100"/>
          <a:ext cx="1247775" cy="7524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38100</xdr:rowOff>
    </xdr:from>
    <xdr:ext cx="1381125" cy="832892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38100"/>
          <a:ext cx="1381125" cy="83248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228600</xdr:colOff>
      <xdr:row>0</xdr:row>
      <xdr:rowOff>38100</xdr:rowOff>
    </xdr:from>
    <xdr:ext cx="1381125" cy="83289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38100"/>
          <a:ext cx="1381125" cy="83248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600076</xdr:colOff>
      <xdr:row>0</xdr:row>
      <xdr:rowOff>28575</xdr:rowOff>
    </xdr:from>
    <xdr:ext cx="933450" cy="56292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075" y="28575"/>
          <a:ext cx="933450" cy="56261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123825</xdr:rowOff>
    </xdr:from>
    <xdr:ext cx="1352551" cy="72041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123825"/>
          <a:ext cx="1352550" cy="7200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560349" cy="7143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0"/>
          <a:ext cx="1560195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466850" cy="73342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200"/>
          <a:ext cx="1466850" cy="7334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57150</xdr:colOff>
      <xdr:row>20</xdr:row>
      <xdr:rowOff>190500</xdr:rowOff>
    </xdr:from>
    <xdr:ext cx="6391275" cy="2914650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96450" y="4391025"/>
          <a:ext cx="6391275" cy="29146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466850" cy="73342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200"/>
          <a:ext cx="1466850" cy="7334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0</xdr:colOff>
      <xdr:row>21</xdr:row>
      <xdr:rowOff>0</xdr:rowOff>
    </xdr:from>
    <xdr:ext cx="6519923" cy="2943225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63050" y="4410075"/>
          <a:ext cx="6519545" cy="29432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758891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381125" cy="758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57151</xdr:colOff>
      <xdr:row>21</xdr:row>
      <xdr:rowOff>57149</xdr:rowOff>
    </xdr:from>
    <xdr:ext cx="6348949" cy="2857501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63075" y="4466590"/>
          <a:ext cx="6348730" cy="285813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758891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381125" cy="758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28576</xdr:colOff>
      <xdr:row>21</xdr:row>
      <xdr:rowOff>38099</xdr:rowOff>
    </xdr:from>
    <xdr:ext cx="6400799" cy="2880837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96400" y="4447540"/>
          <a:ext cx="6400800" cy="288099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3820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333500" cy="838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19053</xdr:colOff>
      <xdr:row>21</xdr:row>
      <xdr:rowOff>28575</xdr:rowOff>
    </xdr:from>
    <xdr:ext cx="6191248" cy="2788360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91653" y="4248150"/>
          <a:ext cx="6191248" cy="27883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5875" cy="796736"/>
    <xdr:pic>
      <xdr:nvPicPr>
        <xdr:cNvPr id="2" name="Image 1">
          <a:extLst>
            <a:ext uri="{FF2B5EF4-FFF2-40B4-BE49-F238E27FC236}">
              <a16:creationId xmlns:a16="http://schemas.microsoft.com/office/drawing/2014/main" id="{F440138A-58D2-4980-9F34-535458B2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285875" cy="79673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9525</xdr:colOff>
      <xdr:row>23</xdr:row>
      <xdr:rowOff>9525</xdr:rowOff>
    </xdr:from>
    <xdr:ext cx="6448425" cy="2253139"/>
    <xdr:pic>
      <xdr:nvPicPr>
        <xdr:cNvPr id="3" name="Image 2">
          <a:extLst>
            <a:ext uri="{FF2B5EF4-FFF2-40B4-BE49-F238E27FC236}">
              <a16:creationId xmlns:a16="http://schemas.microsoft.com/office/drawing/2014/main" id="{08938516-F600-4366-823D-40535E67F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48800" y="4838700"/>
          <a:ext cx="6448425" cy="22531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0</xdr:row>
      <xdr:rowOff>28576</xdr:rowOff>
    </xdr:from>
    <xdr:ext cx="1390651" cy="781048"/>
    <xdr:pic>
      <xdr:nvPicPr>
        <xdr:cNvPr id="2" name="Image 1">
          <a:extLst>
            <a:ext uri="{FF2B5EF4-FFF2-40B4-BE49-F238E27FC236}">
              <a16:creationId xmlns:a16="http://schemas.microsoft.com/office/drawing/2014/main" id="{0792F472-8A2A-4C1D-A0F0-18D5F960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4" y="28576"/>
          <a:ext cx="1390651" cy="78104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19052</xdr:colOff>
      <xdr:row>21</xdr:row>
      <xdr:rowOff>9525</xdr:rowOff>
    </xdr:from>
    <xdr:ext cx="6486524" cy="2895600"/>
    <xdr:pic>
      <xdr:nvPicPr>
        <xdr:cNvPr id="3" name="Image 2">
          <a:extLst>
            <a:ext uri="{FF2B5EF4-FFF2-40B4-BE49-F238E27FC236}">
              <a16:creationId xmlns:a16="http://schemas.microsoft.com/office/drawing/2014/main" id="{8C0FDCC0-120E-4376-AB10-E7276ABF9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63102" y="4419600"/>
          <a:ext cx="6486524" cy="2895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1"/>
  <sheetViews>
    <sheetView topLeftCell="A4" workbookViewId="0">
      <selection activeCell="A39" sqref="A39"/>
    </sheetView>
  </sheetViews>
  <sheetFormatPr baseColWidth="10" defaultColWidth="11" defaultRowHeight="15"/>
  <cols>
    <col min="1" max="1" width="25.140625" customWidth="1"/>
    <col min="2" max="2" width="15" customWidth="1"/>
    <col min="3" max="3" width="11" customWidth="1"/>
    <col min="5" max="6" width="11.42578125" customWidth="1"/>
    <col min="7" max="7" width="11.140625" customWidth="1"/>
  </cols>
  <sheetData>
    <row r="3" spans="1:7">
      <c r="A3" s="351"/>
      <c r="B3" s="351"/>
      <c r="C3" s="1082" t="s">
        <v>0</v>
      </c>
      <c r="D3" s="1083"/>
      <c r="E3" s="432"/>
      <c r="F3" s="1089"/>
      <c r="G3" s="1089"/>
    </row>
    <row r="4" spans="1:7">
      <c r="A4" s="351"/>
      <c r="B4" s="1090" t="s">
        <v>1</v>
      </c>
      <c r="C4" s="1091"/>
      <c r="D4" s="1091"/>
      <c r="E4" s="1091"/>
      <c r="F4" s="1089"/>
      <c r="G4" s="1089"/>
    </row>
    <row r="5" spans="1:7">
      <c r="A5" s="351"/>
      <c r="B5" s="1091"/>
      <c r="C5" s="1091"/>
      <c r="D5" s="1091"/>
      <c r="E5" s="1091"/>
      <c r="F5" s="1089"/>
      <c r="G5" s="1089"/>
    </row>
    <row r="6" spans="1:7" ht="15.75">
      <c r="A6" s="351"/>
      <c r="B6" s="351"/>
      <c r="C6" s="1084">
        <v>2022</v>
      </c>
      <c r="D6" s="1084"/>
      <c r="E6" s="432"/>
      <c r="F6" s="1089"/>
      <c r="G6" s="1089"/>
    </row>
    <row r="7" spans="1:7">
      <c r="A7" s="351"/>
      <c r="B7" s="351"/>
      <c r="C7" s="351"/>
      <c r="D7" s="351"/>
      <c r="E7" s="432"/>
      <c r="F7" s="1089"/>
      <c r="G7" s="1089"/>
    </row>
    <row r="8" spans="1:7">
      <c r="A8" s="1077" t="s">
        <v>2</v>
      </c>
      <c r="B8" s="1085" t="s">
        <v>3</v>
      </c>
      <c r="C8" s="1086"/>
      <c r="D8" s="1086"/>
      <c r="E8" s="1087"/>
      <c r="F8" s="1085" t="s">
        <v>4</v>
      </c>
      <c r="G8" s="1088"/>
    </row>
    <row r="9" spans="1:7">
      <c r="A9" s="1078"/>
      <c r="B9" s="939" t="s">
        <v>5</v>
      </c>
      <c r="C9" s="940" t="s">
        <v>6</v>
      </c>
      <c r="D9" s="941"/>
      <c r="E9" s="942"/>
      <c r="F9" s="939" t="s">
        <v>5</v>
      </c>
      <c r="G9" s="1080" t="s">
        <v>6</v>
      </c>
    </row>
    <row r="10" spans="1:7">
      <c r="A10" s="1079"/>
      <c r="B10" s="150" t="s">
        <v>7</v>
      </c>
      <c r="C10" s="943" t="s">
        <v>8</v>
      </c>
      <c r="D10" s="943" t="s">
        <v>9</v>
      </c>
      <c r="E10" s="943" t="s">
        <v>10</v>
      </c>
      <c r="F10" s="150" t="s">
        <v>7</v>
      </c>
      <c r="G10" s="1081"/>
    </row>
    <row r="11" spans="1:7">
      <c r="A11" s="944">
        <v>44835</v>
      </c>
      <c r="B11" s="317" t="s">
        <v>11</v>
      </c>
      <c r="C11" s="945" t="s">
        <v>12</v>
      </c>
      <c r="D11" s="945" t="s">
        <v>13</v>
      </c>
      <c r="E11" s="945"/>
      <c r="F11" s="317" t="s">
        <v>14</v>
      </c>
      <c r="G11" s="946" t="s">
        <v>15</v>
      </c>
    </row>
    <row r="12" spans="1:7">
      <c r="A12" s="944">
        <v>44836</v>
      </c>
      <c r="B12" s="317" t="s">
        <v>16</v>
      </c>
      <c r="C12" s="945" t="s">
        <v>12</v>
      </c>
      <c r="D12" s="945" t="s">
        <v>13</v>
      </c>
      <c r="E12" s="945"/>
      <c r="F12" s="317" t="s">
        <v>17</v>
      </c>
      <c r="G12" s="946" t="s">
        <v>18</v>
      </c>
    </row>
    <row r="13" spans="1:7">
      <c r="A13" s="944">
        <v>44837</v>
      </c>
      <c r="B13" s="317" t="s">
        <v>19</v>
      </c>
      <c r="C13" s="945" t="s">
        <v>12</v>
      </c>
      <c r="D13" s="945" t="s">
        <v>13</v>
      </c>
      <c r="E13" s="945"/>
      <c r="F13" s="317" t="s">
        <v>20</v>
      </c>
      <c r="G13" s="946" t="s">
        <v>21</v>
      </c>
    </row>
    <row r="14" spans="1:7">
      <c r="A14" s="944">
        <v>44838</v>
      </c>
      <c r="B14" s="317" t="s">
        <v>22</v>
      </c>
      <c r="C14" s="945" t="s">
        <v>12</v>
      </c>
      <c r="D14" s="945" t="s">
        <v>13</v>
      </c>
      <c r="E14" s="945"/>
      <c r="F14" s="317" t="s">
        <v>20</v>
      </c>
      <c r="G14" s="946" t="s">
        <v>15</v>
      </c>
    </row>
    <row r="15" spans="1:7">
      <c r="A15" s="944">
        <v>44839</v>
      </c>
      <c r="B15" s="317" t="s">
        <v>16</v>
      </c>
      <c r="C15" s="945" t="s">
        <v>12</v>
      </c>
      <c r="D15" s="945" t="s">
        <v>13</v>
      </c>
      <c r="E15" s="945"/>
      <c r="F15" s="317" t="s">
        <v>17</v>
      </c>
      <c r="G15" s="946" t="s">
        <v>23</v>
      </c>
    </row>
    <row r="16" spans="1:7">
      <c r="A16" s="944">
        <v>44840</v>
      </c>
      <c r="B16" s="317" t="s">
        <v>19</v>
      </c>
      <c r="C16" s="945" t="s">
        <v>12</v>
      </c>
      <c r="D16" s="945" t="s">
        <v>13</v>
      </c>
      <c r="E16" s="945" t="s">
        <v>21</v>
      </c>
      <c r="F16" s="317" t="s">
        <v>17</v>
      </c>
      <c r="G16" s="946" t="s">
        <v>21</v>
      </c>
    </row>
    <row r="17" spans="1:7">
      <c r="A17" s="947">
        <v>44841</v>
      </c>
      <c r="B17" s="948" t="s">
        <v>24</v>
      </c>
      <c r="C17" s="1074" t="s">
        <v>25</v>
      </c>
      <c r="D17" s="1075"/>
      <c r="E17" s="1076"/>
      <c r="F17" s="948" t="s">
        <v>26</v>
      </c>
      <c r="G17" s="949" t="s">
        <v>27</v>
      </c>
    </row>
    <row r="18" spans="1:7">
      <c r="A18" s="944">
        <v>44842</v>
      </c>
      <c r="B18" s="317" t="s">
        <v>19</v>
      </c>
      <c r="C18" s="945" t="s">
        <v>12</v>
      </c>
      <c r="D18" s="945" t="s">
        <v>13</v>
      </c>
      <c r="E18" s="945" t="s">
        <v>15</v>
      </c>
      <c r="F18" s="317" t="s">
        <v>17</v>
      </c>
      <c r="G18" s="946" t="s">
        <v>23</v>
      </c>
    </row>
    <row r="19" spans="1:7">
      <c r="A19" s="944">
        <v>44843</v>
      </c>
      <c r="B19" s="317" t="s">
        <v>19</v>
      </c>
      <c r="C19" s="945" t="s">
        <v>12</v>
      </c>
      <c r="D19" s="945" t="s">
        <v>13</v>
      </c>
      <c r="E19" s="945"/>
      <c r="F19" s="317" t="s">
        <v>20</v>
      </c>
      <c r="G19" s="946" t="s">
        <v>17</v>
      </c>
    </row>
    <row r="20" spans="1:7">
      <c r="A20" s="944">
        <v>44844</v>
      </c>
      <c r="B20" s="317" t="s">
        <v>28</v>
      </c>
      <c r="C20" s="945" t="s">
        <v>12</v>
      </c>
      <c r="D20" s="945" t="s">
        <v>13</v>
      </c>
      <c r="E20" s="945" t="s">
        <v>26</v>
      </c>
      <c r="F20" s="317" t="s">
        <v>20</v>
      </c>
      <c r="G20" s="946" t="s">
        <v>15</v>
      </c>
    </row>
    <row r="21" spans="1:7">
      <c r="A21" s="944">
        <v>44845</v>
      </c>
      <c r="B21" s="317" t="s">
        <v>28</v>
      </c>
      <c r="C21" s="945" t="s">
        <v>12</v>
      </c>
      <c r="D21" s="945" t="s">
        <v>13</v>
      </c>
      <c r="E21" s="945"/>
      <c r="F21" s="317" t="s">
        <v>29</v>
      </c>
      <c r="G21" s="946" t="s">
        <v>30</v>
      </c>
    </row>
    <row r="22" spans="1:7">
      <c r="A22" s="944">
        <v>44846</v>
      </c>
      <c r="B22" s="317" t="s">
        <v>19</v>
      </c>
      <c r="C22" s="945" t="s">
        <v>12</v>
      </c>
      <c r="D22" s="945" t="s">
        <v>13</v>
      </c>
      <c r="E22" s="945"/>
      <c r="F22" s="317" t="s">
        <v>17</v>
      </c>
      <c r="G22" s="946" t="s">
        <v>21</v>
      </c>
    </row>
    <row r="23" spans="1:7">
      <c r="A23" s="944">
        <v>44847</v>
      </c>
      <c r="B23" s="317" t="s">
        <v>22</v>
      </c>
      <c r="C23" s="945" t="s">
        <v>12</v>
      </c>
      <c r="D23" s="945" t="s">
        <v>13</v>
      </c>
      <c r="E23" s="945"/>
      <c r="F23" s="317" t="s">
        <v>20</v>
      </c>
      <c r="G23" s="946" t="s">
        <v>31</v>
      </c>
    </row>
    <row r="24" spans="1:7">
      <c r="A24" s="947">
        <v>44848</v>
      </c>
      <c r="B24" s="948" t="s">
        <v>24</v>
      </c>
      <c r="C24" s="1074" t="s">
        <v>32</v>
      </c>
      <c r="D24" s="1075"/>
      <c r="E24" s="1076"/>
      <c r="F24" s="948" t="s">
        <v>20</v>
      </c>
      <c r="G24" s="949" t="s">
        <v>27</v>
      </c>
    </row>
    <row r="25" spans="1:7">
      <c r="A25" s="944">
        <v>44849</v>
      </c>
      <c r="B25" s="317" t="s">
        <v>19</v>
      </c>
      <c r="C25" s="945" t="s">
        <v>12</v>
      </c>
      <c r="D25" s="945" t="s">
        <v>13</v>
      </c>
      <c r="E25" s="945"/>
      <c r="F25" s="317" t="s">
        <v>17</v>
      </c>
      <c r="G25" s="946" t="s">
        <v>23</v>
      </c>
    </row>
    <row r="26" spans="1:7">
      <c r="A26" s="944">
        <v>44850</v>
      </c>
      <c r="B26" s="317" t="s">
        <v>11</v>
      </c>
      <c r="C26" s="945" t="s">
        <v>12</v>
      </c>
      <c r="D26" s="945" t="s">
        <v>13</v>
      </c>
      <c r="E26" s="945"/>
      <c r="F26" s="317" t="s">
        <v>29</v>
      </c>
      <c r="G26" s="946" t="s">
        <v>17</v>
      </c>
    </row>
    <row r="27" spans="1:7">
      <c r="A27" s="944">
        <v>44851</v>
      </c>
      <c r="B27" s="317" t="s">
        <v>19</v>
      </c>
      <c r="C27" s="945" t="s">
        <v>12</v>
      </c>
      <c r="D27" s="945" t="s">
        <v>13</v>
      </c>
      <c r="E27" s="945"/>
      <c r="F27" s="317" t="s">
        <v>17</v>
      </c>
      <c r="G27" s="946" t="s">
        <v>15</v>
      </c>
    </row>
    <row r="28" spans="1:7">
      <c r="A28" s="944">
        <v>44852</v>
      </c>
      <c r="B28" s="317" t="s">
        <v>28</v>
      </c>
      <c r="C28" s="945" t="s">
        <v>12</v>
      </c>
      <c r="D28" s="945" t="s">
        <v>13</v>
      </c>
      <c r="E28" s="945"/>
      <c r="F28" s="317" t="s">
        <v>20</v>
      </c>
      <c r="G28" s="946" t="s">
        <v>21</v>
      </c>
    </row>
    <row r="29" spans="1:7">
      <c r="A29" s="944">
        <v>44853</v>
      </c>
      <c r="B29" s="317" t="s">
        <v>22</v>
      </c>
      <c r="C29" s="945" t="s">
        <v>12</v>
      </c>
      <c r="D29" s="945" t="s">
        <v>13</v>
      </c>
      <c r="E29" s="945" t="s">
        <v>20</v>
      </c>
      <c r="F29" s="317" t="s">
        <v>20</v>
      </c>
      <c r="G29" s="946" t="s">
        <v>33</v>
      </c>
    </row>
    <row r="30" spans="1:7">
      <c r="A30" s="944">
        <v>44854</v>
      </c>
      <c r="B30" s="317" t="s">
        <v>19</v>
      </c>
      <c r="C30" s="945" t="s">
        <v>12</v>
      </c>
      <c r="D30" s="945" t="s">
        <v>13</v>
      </c>
      <c r="E30" s="945" t="s">
        <v>20</v>
      </c>
      <c r="F30" s="317" t="s">
        <v>17</v>
      </c>
      <c r="G30" s="946" t="s">
        <v>20</v>
      </c>
    </row>
    <row r="31" spans="1:7">
      <c r="A31" s="947">
        <v>44855</v>
      </c>
      <c r="B31" s="948" t="s">
        <v>24</v>
      </c>
      <c r="C31" s="1074" t="s">
        <v>34</v>
      </c>
      <c r="D31" s="1075"/>
      <c r="E31" s="1076"/>
      <c r="F31" s="948" t="s">
        <v>21</v>
      </c>
      <c r="G31" s="949" t="s">
        <v>27</v>
      </c>
    </row>
    <row r="32" spans="1:7">
      <c r="A32" s="944">
        <v>44856</v>
      </c>
      <c r="B32" s="317" t="s">
        <v>11</v>
      </c>
      <c r="C32" s="945" t="s">
        <v>12</v>
      </c>
      <c r="D32" s="945" t="s">
        <v>13</v>
      </c>
      <c r="E32" s="945" t="s">
        <v>35</v>
      </c>
      <c r="F32" s="317" t="s">
        <v>17</v>
      </c>
      <c r="G32" s="946" t="s">
        <v>23</v>
      </c>
    </row>
    <row r="33" spans="1:7">
      <c r="A33" s="944">
        <v>44857</v>
      </c>
      <c r="B33" s="317" t="s">
        <v>36</v>
      </c>
      <c r="C33" s="945" t="s">
        <v>12</v>
      </c>
      <c r="D33" s="945" t="s">
        <v>13</v>
      </c>
      <c r="E33" s="945" t="s">
        <v>35</v>
      </c>
      <c r="F33" s="317" t="s">
        <v>23</v>
      </c>
      <c r="G33" s="946" t="s">
        <v>17</v>
      </c>
    </row>
    <row r="34" spans="1:7">
      <c r="A34" s="944">
        <v>44858</v>
      </c>
      <c r="B34" s="317" t="s">
        <v>16</v>
      </c>
      <c r="C34" s="945" t="s">
        <v>12</v>
      </c>
      <c r="D34" s="945" t="s">
        <v>13</v>
      </c>
      <c r="E34" s="945" t="s">
        <v>35</v>
      </c>
      <c r="F34" s="317" t="s">
        <v>29</v>
      </c>
      <c r="G34" s="946" t="s">
        <v>15</v>
      </c>
    </row>
    <row r="35" spans="1:7">
      <c r="A35" s="944">
        <v>44859</v>
      </c>
      <c r="B35" s="317" t="s">
        <v>11</v>
      </c>
      <c r="C35" s="945" t="s">
        <v>12</v>
      </c>
      <c r="D35" s="945" t="s">
        <v>13</v>
      </c>
      <c r="E35" s="945" t="s">
        <v>17</v>
      </c>
      <c r="F35" s="317" t="s">
        <v>29</v>
      </c>
      <c r="G35" s="946" t="s">
        <v>23</v>
      </c>
    </row>
    <row r="36" spans="1:7">
      <c r="A36" s="944">
        <v>44860</v>
      </c>
      <c r="B36" s="317" t="s">
        <v>11</v>
      </c>
      <c r="C36" s="945" t="s">
        <v>12</v>
      </c>
      <c r="D36" s="945" t="s">
        <v>13</v>
      </c>
      <c r="E36" s="945"/>
      <c r="F36" s="317" t="s">
        <v>17</v>
      </c>
      <c r="G36" s="946" t="s">
        <v>15</v>
      </c>
    </row>
    <row r="37" spans="1:7">
      <c r="A37" s="944">
        <v>44861</v>
      </c>
      <c r="B37" s="317" t="s">
        <v>11</v>
      </c>
      <c r="C37" s="945" t="s">
        <v>12</v>
      </c>
      <c r="D37" s="945" t="s">
        <v>13</v>
      </c>
      <c r="E37" s="945"/>
      <c r="F37" s="317" t="s">
        <v>17</v>
      </c>
      <c r="G37" s="946" t="s">
        <v>31</v>
      </c>
    </row>
    <row r="38" spans="1:7">
      <c r="A38" s="947">
        <v>44927</v>
      </c>
      <c r="B38" s="948" t="s">
        <v>24</v>
      </c>
      <c r="C38" s="1074" t="s">
        <v>37</v>
      </c>
      <c r="D38" s="1075"/>
      <c r="E38" s="1076"/>
      <c r="F38" s="948" t="s">
        <v>20</v>
      </c>
      <c r="G38" s="949" t="s">
        <v>27</v>
      </c>
    </row>
    <row r="39" spans="1:7">
      <c r="A39" s="944">
        <v>44863</v>
      </c>
      <c r="B39" s="317" t="s">
        <v>11</v>
      </c>
      <c r="C39" s="945" t="s">
        <v>12</v>
      </c>
      <c r="D39" s="945" t="s">
        <v>13</v>
      </c>
      <c r="E39" s="945" t="s">
        <v>35</v>
      </c>
      <c r="F39" s="317" t="s">
        <v>20</v>
      </c>
      <c r="G39" s="946" t="s">
        <v>17</v>
      </c>
    </row>
    <row r="40" spans="1:7">
      <c r="A40" s="944">
        <v>44864</v>
      </c>
      <c r="B40" s="317" t="s">
        <v>11</v>
      </c>
      <c r="C40" s="945" t="s">
        <v>12</v>
      </c>
      <c r="D40" s="945" t="s">
        <v>13</v>
      </c>
      <c r="E40" s="945" t="s">
        <v>17</v>
      </c>
      <c r="F40" s="317" t="s">
        <v>17</v>
      </c>
      <c r="G40" s="946" t="s">
        <v>21</v>
      </c>
    </row>
    <row r="41" spans="1:7">
      <c r="A41" s="950">
        <v>44865</v>
      </c>
      <c r="B41" s="338" t="s">
        <v>11</v>
      </c>
      <c r="C41" s="951" t="s">
        <v>12</v>
      </c>
      <c r="D41" s="951" t="s">
        <v>13</v>
      </c>
      <c r="E41" s="951" t="s">
        <v>17</v>
      </c>
      <c r="F41" s="338" t="s">
        <v>17</v>
      </c>
      <c r="G41" s="952" t="s">
        <v>23</v>
      </c>
    </row>
  </sheetData>
  <mergeCells count="12">
    <mergeCell ref="C3:D3"/>
    <mergeCell ref="C6:D6"/>
    <mergeCell ref="B8:E8"/>
    <mergeCell ref="F8:G8"/>
    <mergeCell ref="C17:E17"/>
    <mergeCell ref="F3:G7"/>
    <mergeCell ref="B4:E5"/>
    <mergeCell ref="C24:E24"/>
    <mergeCell ref="C31:E31"/>
    <mergeCell ref="C38:E38"/>
    <mergeCell ref="A8:A10"/>
    <mergeCell ref="G9:G10"/>
  </mergeCells>
  <pageMargins left="0.25" right="0.25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29"/>
  <sheetViews>
    <sheetView topLeftCell="A7" workbookViewId="0">
      <selection activeCell="K41" sqref="K41"/>
    </sheetView>
  </sheetViews>
  <sheetFormatPr baseColWidth="10" defaultColWidth="11" defaultRowHeight="15"/>
  <cols>
    <col min="1" max="1" width="30.5703125" style="918" customWidth="1"/>
    <col min="2" max="2" width="14.42578125" style="317" customWidth="1"/>
    <col min="3" max="3" width="11.140625" customWidth="1"/>
    <col min="4" max="4" width="9.7109375" customWidth="1"/>
    <col min="5" max="5" width="12.140625" customWidth="1"/>
    <col min="6" max="6" width="9.5703125" customWidth="1"/>
    <col min="7" max="7" width="11.140625" customWidth="1"/>
  </cols>
  <sheetData>
    <row r="1" spans="1:8">
      <c r="B1"/>
    </row>
    <row r="2" spans="1:8">
      <c r="B2"/>
    </row>
    <row r="3" spans="1:8" ht="21" customHeight="1">
      <c r="A3" s="1083"/>
      <c r="B3" s="351"/>
      <c r="C3" s="1102" t="s">
        <v>0</v>
      </c>
      <c r="D3" s="1082"/>
      <c r="E3" s="432"/>
      <c r="F3" s="1089"/>
      <c r="G3" s="1089"/>
    </row>
    <row r="4" spans="1:8" ht="28.5" customHeight="1">
      <c r="A4" s="1083"/>
      <c r="B4" s="1094" t="s">
        <v>38</v>
      </c>
      <c r="C4" s="1095"/>
      <c r="D4" s="1095"/>
      <c r="E4" s="1095"/>
      <c r="F4" s="1089"/>
      <c r="G4" s="1089"/>
    </row>
    <row r="5" spans="1:8" ht="15" customHeight="1">
      <c r="A5" s="1083"/>
      <c r="B5" s="1095"/>
      <c r="C5" s="1095"/>
      <c r="D5" s="1095"/>
      <c r="E5" s="1095"/>
      <c r="F5" s="1089"/>
      <c r="G5" s="1089"/>
    </row>
    <row r="6" spans="1:8" ht="15.75" customHeight="1">
      <c r="A6" s="1083"/>
      <c r="B6" s="919"/>
      <c r="C6" s="1103">
        <v>2022</v>
      </c>
      <c r="D6" s="1103"/>
      <c r="E6" s="919"/>
      <c r="F6" s="1089"/>
      <c r="G6" s="1089"/>
    </row>
    <row r="7" spans="1:8" ht="17.25" customHeight="1">
      <c r="A7" s="1083"/>
      <c r="B7" s="351"/>
      <c r="C7" s="1084"/>
      <c r="D7" s="1084"/>
      <c r="E7" s="432"/>
      <c r="F7" s="1089"/>
      <c r="G7" s="1089"/>
    </row>
    <row r="8" spans="1:8" ht="15" hidden="1" customHeight="1">
      <c r="A8" s="351"/>
      <c r="B8" s="351"/>
      <c r="C8" s="351"/>
      <c r="D8" s="351"/>
      <c r="E8" s="432"/>
      <c r="F8" s="1089"/>
      <c r="G8" s="1089"/>
    </row>
    <row r="9" spans="1:8" ht="17.25">
      <c r="A9" s="1092" t="s">
        <v>39</v>
      </c>
      <c r="B9" s="1097" t="s">
        <v>40</v>
      </c>
      <c r="C9" s="1097"/>
      <c r="D9" s="1097"/>
      <c r="E9" s="1097"/>
      <c r="F9" s="1097" t="s">
        <v>4</v>
      </c>
      <c r="G9" s="1098"/>
    </row>
    <row r="10" spans="1:8" ht="17.25">
      <c r="A10" s="1093"/>
      <c r="B10" s="920" t="s">
        <v>5</v>
      </c>
      <c r="C10" s="1096" t="s">
        <v>6</v>
      </c>
      <c r="D10" s="1096"/>
      <c r="E10" s="1096"/>
      <c r="F10" s="920" t="s">
        <v>5</v>
      </c>
      <c r="G10" s="921" t="s">
        <v>6</v>
      </c>
    </row>
    <row r="11" spans="1:8" ht="17.25">
      <c r="A11" s="1093"/>
      <c r="B11" s="922"/>
      <c r="C11" s="923" t="s">
        <v>8</v>
      </c>
      <c r="D11" s="923" t="s">
        <v>9</v>
      </c>
      <c r="E11" s="923" t="s">
        <v>10</v>
      </c>
      <c r="F11" s="924"/>
      <c r="G11" s="925"/>
    </row>
    <row r="12" spans="1:8" ht="17.25">
      <c r="A12" s="926">
        <v>44866</v>
      </c>
      <c r="B12" s="922" t="s">
        <v>11</v>
      </c>
      <c r="C12" s="927" t="s">
        <v>12</v>
      </c>
      <c r="D12" s="927" t="s">
        <v>13</v>
      </c>
      <c r="E12" s="927"/>
      <c r="F12" s="922" t="s">
        <v>29</v>
      </c>
      <c r="G12" s="928" t="s">
        <v>17</v>
      </c>
      <c r="H12" s="929"/>
    </row>
    <row r="13" spans="1:8" ht="17.25">
      <c r="A13" s="926">
        <v>44867</v>
      </c>
      <c r="B13" s="922" t="s">
        <v>11</v>
      </c>
      <c r="C13" s="927" t="s">
        <v>12</v>
      </c>
      <c r="D13" s="927" t="s">
        <v>13</v>
      </c>
      <c r="E13" s="927"/>
      <c r="F13" s="922" t="s">
        <v>23</v>
      </c>
      <c r="G13" s="928" t="s">
        <v>17</v>
      </c>
    </row>
    <row r="14" spans="1:8" ht="17.25">
      <c r="A14" s="926">
        <v>44868</v>
      </c>
      <c r="B14" s="922" t="s">
        <v>16</v>
      </c>
      <c r="C14" s="927" t="s">
        <v>12</v>
      </c>
      <c r="D14" s="927" t="s">
        <v>41</v>
      </c>
      <c r="E14" s="927"/>
      <c r="F14" s="922" t="s">
        <v>27</v>
      </c>
      <c r="G14" s="928" t="s">
        <v>17</v>
      </c>
    </row>
    <row r="15" spans="1:8" ht="17.25">
      <c r="A15" s="926">
        <v>44869</v>
      </c>
      <c r="B15" s="930" t="s">
        <v>17</v>
      </c>
      <c r="C15" s="1099" t="s">
        <v>42</v>
      </c>
      <c r="D15" s="1100"/>
      <c r="E15" s="1101"/>
      <c r="F15" s="930" t="s">
        <v>17</v>
      </c>
      <c r="G15" s="931" t="s">
        <v>42</v>
      </c>
    </row>
    <row r="16" spans="1:8" ht="17.25">
      <c r="A16" s="926">
        <v>44870</v>
      </c>
      <c r="B16" s="922" t="s">
        <v>11</v>
      </c>
      <c r="C16" s="927" t="s">
        <v>12</v>
      </c>
      <c r="D16" s="927" t="s">
        <v>13</v>
      </c>
      <c r="E16" s="927" t="s">
        <v>14</v>
      </c>
      <c r="F16" s="922" t="s">
        <v>43</v>
      </c>
      <c r="G16" s="928" t="s">
        <v>21</v>
      </c>
    </row>
    <row r="17" spans="1:7" ht="17.25">
      <c r="A17" s="926">
        <v>44871</v>
      </c>
      <c r="B17" s="922" t="s">
        <v>28</v>
      </c>
      <c r="C17" s="927" t="s">
        <v>12</v>
      </c>
      <c r="D17" s="927" t="s">
        <v>13</v>
      </c>
      <c r="E17" s="927" t="s">
        <v>14</v>
      </c>
      <c r="F17" s="922" t="s">
        <v>27</v>
      </c>
      <c r="G17" s="928" t="s">
        <v>17</v>
      </c>
    </row>
    <row r="18" spans="1:7" ht="17.25">
      <c r="A18" s="926">
        <v>44872</v>
      </c>
      <c r="B18" s="922" t="s">
        <v>19</v>
      </c>
      <c r="C18" s="927" t="s">
        <v>12</v>
      </c>
      <c r="D18" s="927" t="s">
        <v>13</v>
      </c>
      <c r="E18" s="927" t="s">
        <v>14</v>
      </c>
      <c r="F18" s="932" t="s">
        <v>23</v>
      </c>
      <c r="G18" s="928" t="s">
        <v>17</v>
      </c>
    </row>
    <row r="19" spans="1:7" ht="17.25">
      <c r="A19" s="926">
        <v>44873</v>
      </c>
      <c r="B19" s="922" t="s">
        <v>11</v>
      </c>
      <c r="C19" s="927" t="s">
        <v>12</v>
      </c>
      <c r="D19" s="927" t="s">
        <v>13</v>
      </c>
      <c r="E19" s="927" t="s">
        <v>14</v>
      </c>
      <c r="F19" s="922" t="s">
        <v>21</v>
      </c>
      <c r="G19" s="928" t="s">
        <v>29</v>
      </c>
    </row>
    <row r="20" spans="1:7" ht="17.25">
      <c r="A20" s="926">
        <v>44874</v>
      </c>
      <c r="B20" s="922" t="s">
        <v>28</v>
      </c>
      <c r="C20" s="927" t="s">
        <v>12</v>
      </c>
      <c r="D20" s="927" t="s">
        <v>13</v>
      </c>
      <c r="E20" s="927" t="s">
        <v>14</v>
      </c>
      <c r="F20" s="922" t="s">
        <v>27</v>
      </c>
      <c r="G20" s="928" t="s">
        <v>44</v>
      </c>
    </row>
    <row r="21" spans="1:7" ht="17.25">
      <c r="A21" s="926">
        <v>44875</v>
      </c>
      <c r="B21" s="922" t="s">
        <v>22</v>
      </c>
      <c r="C21" s="927" t="s">
        <v>12</v>
      </c>
      <c r="D21" s="927" t="s">
        <v>13</v>
      </c>
      <c r="E21" s="927" t="s">
        <v>14</v>
      </c>
      <c r="F21" s="922" t="s">
        <v>21</v>
      </c>
      <c r="G21" s="928" t="s">
        <v>17</v>
      </c>
    </row>
    <row r="22" spans="1:7" ht="17.25">
      <c r="A22" s="926">
        <v>44876</v>
      </c>
      <c r="B22" s="930" t="s">
        <v>17</v>
      </c>
      <c r="C22" s="1099" t="s">
        <v>45</v>
      </c>
      <c r="D22" s="1100"/>
      <c r="E22" s="1101"/>
      <c r="F22" s="930" t="s">
        <v>17</v>
      </c>
      <c r="G22" s="931" t="s">
        <v>45</v>
      </c>
    </row>
    <row r="23" spans="1:7" ht="17.25">
      <c r="A23" s="926">
        <v>44877</v>
      </c>
      <c r="B23" s="922" t="s">
        <v>28</v>
      </c>
      <c r="C23" s="927" t="s">
        <v>12</v>
      </c>
      <c r="D23" s="927" t="s">
        <v>13</v>
      </c>
      <c r="E23" s="927" t="s">
        <v>14</v>
      </c>
      <c r="F23" s="922" t="s">
        <v>27</v>
      </c>
      <c r="G23" s="928" t="s">
        <v>17</v>
      </c>
    </row>
    <row r="24" spans="1:7" ht="17.25">
      <c r="A24" s="926">
        <v>44878</v>
      </c>
      <c r="B24" s="922" t="s">
        <v>28</v>
      </c>
      <c r="C24" s="927" t="s">
        <v>12</v>
      </c>
      <c r="D24" s="927" t="s">
        <v>13</v>
      </c>
      <c r="E24" s="927" t="s">
        <v>14</v>
      </c>
      <c r="F24" s="922" t="s">
        <v>27</v>
      </c>
      <c r="G24" s="928" t="s">
        <v>17</v>
      </c>
    </row>
    <row r="25" spans="1:7" ht="17.25">
      <c r="A25" s="926">
        <v>44879</v>
      </c>
      <c r="B25" s="922" t="s">
        <v>19</v>
      </c>
      <c r="C25" s="927" t="s">
        <v>12</v>
      </c>
      <c r="D25" s="927" t="s">
        <v>13</v>
      </c>
      <c r="E25" s="927" t="s">
        <v>14</v>
      </c>
      <c r="F25" s="932" t="s">
        <v>23</v>
      </c>
      <c r="G25" s="928" t="s">
        <v>17</v>
      </c>
    </row>
    <row r="26" spans="1:7" ht="17.25">
      <c r="A26" s="926">
        <v>44880</v>
      </c>
      <c r="B26" s="922" t="s">
        <v>28</v>
      </c>
      <c r="C26" s="927" t="s">
        <v>12</v>
      </c>
      <c r="D26" s="927" t="s">
        <v>13</v>
      </c>
      <c r="E26" s="927" t="s">
        <v>14</v>
      </c>
      <c r="F26" s="922" t="s">
        <v>46</v>
      </c>
      <c r="G26" s="928" t="s">
        <v>29</v>
      </c>
    </row>
    <row r="27" spans="1:7" ht="17.25">
      <c r="A27" s="926">
        <v>44881</v>
      </c>
      <c r="B27" s="922" t="s">
        <v>22</v>
      </c>
      <c r="C27" s="927" t="s">
        <v>12</v>
      </c>
      <c r="D27" s="927" t="s">
        <v>13</v>
      </c>
      <c r="E27" s="927" t="s">
        <v>14</v>
      </c>
      <c r="F27" s="922" t="s">
        <v>21</v>
      </c>
      <c r="G27" s="928" t="s">
        <v>17</v>
      </c>
    </row>
    <row r="28" spans="1:7" ht="17.25">
      <c r="A28" s="926">
        <v>44882</v>
      </c>
      <c r="B28" s="922" t="s">
        <v>22</v>
      </c>
      <c r="C28" s="927" t="s">
        <v>12</v>
      </c>
      <c r="D28" s="927" t="s">
        <v>13</v>
      </c>
      <c r="E28" s="927" t="s">
        <v>14</v>
      </c>
      <c r="F28" s="922" t="s">
        <v>21</v>
      </c>
      <c r="G28" s="928" t="s">
        <v>23</v>
      </c>
    </row>
    <row r="29" spans="1:7" ht="17.25">
      <c r="A29" s="926">
        <v>44883</v>
      </c>
      <c r="B29" s="930" t="s">
        <v>47</v>
      </c>
      <c r="C29" s="1099" t="s">
        <v>48</v>
      </c>
      <c r="D29" s="1100"/>
      <c r="E29" s="1101"/>
      <c r="F29" s="930" t="s">
        <v>27</v>
      </c>
      <c r="G29" s="931" t="s">
        <v>45</v>
      </c>
    </row>
    <row r="30" spans="1:7" ht="17.25">
      <c r="A30" s="926">
        <v>44884</v>
      </c>
      <c r="B30" s="922" t="s">
        <v>22</v>
      </c>
      <c r="C30" s="927" t="s">
        <v>12</v>
      </c>
      <c r="D30" s="927" t="s">
        <v>13</v>
      </c>
      <c r="E30" s="927" t="s">
        <v>14</v>
      </c>
      <c r="F30" s="932" t="s">
        <v>27</v>
      </c>
      <c r="G30" s="928" t="s">
        <v>17</v>
      </c>
    </row>
    <row r="31" spans="1:7" ht="17.25">
      <c r="A31" s="926">
        <v>44885</v>
      </c>
      <c r="B31" s="922" t="s">
        <v>22</v>
      </c>
      <c r="C31" s="927" t="s">
        <v>12</v>
      </c>
      <c r="D31" s="927" t="s">
        <v>13</v>
      </c>
      <c r="E31" s="927" t="s">
        <v>14</v>
      </c>
      <c r="F31" s="922" t="s">
        <v>23</v>
      </c>
      <c r="G31" s="928" t="s">
        <v>49</v>
      </c>
    </row>
    <row r="32" spans="1:7" ht="17.25">
      <c r="A32" s="926">
        <v>44886</v>
      </c>
      <c r="B32" s="922" t="s">
        <v>28</v>
      </c>
      <c r="C32" s="927" t="s">
        <v>12</v>
      </c>
      <c r="D32" s="927" t="s">
        <v>13</v>
      </c>
      <c r="E32" s="927" t="s">
        <v>14</v>
      </c>
      <c r="F32" s="932" t="s">
        <v>27</v>
      </c>
      <c r="G32" s="928" t="s">
        <v>44</v>
      </c>
    </row>
    <row r="33" spans="1:7" ht="17.25">
      <c r="A33" s="926">
        <v>44887</v>
      </c>
      <c r="B33" s="922" t="s">
        <v>22</v>
      </c>
      <c r="C33" s="927" t="s">
        <v>12</v>
      </c>
      <c r="D33" s="927" t="s">
        <v>13</v>
      </c>
      <c r="E33" s="927" t="s">
        <v>14</v>
      </c>
      <c r="F33" s="922" t="s">
        <v>21</v>
      </c>
      <c r="G33" s="928" t="s">
        <v>17</v>
      </c>
    </row>
    <row r="34" spans="1:7" ht="17.25">
      <c r="A34" s="926">
        <v>44888</v>
      </c>
      <c r="B34" s="922" t="s">
        <v>19</v>
      </c>
      <c r="C34" s="927" t="s">
        <v>12</v>
      </c>
      <c r="D34" s="927" t="s">
        <v>13</v>
      </c>
      <c r="E34" s="927" t="s">
        <v>50</v>
      </c>
      <c r="F34" s="922" t="s">
        <v>23</v>
      </c>
      <c r="G34" s="928" t="s">
        <v>17</v>
      </c>
    </row>
    <row r="35" spans="1:7" ht="17.25">
      <c r="A35" s="926">
        <v>44889</v>
      </c>
      <c r="B35" s="922" t="s">
        <v>19</v>
      </c>
      <c r="C35" s="927" t="s">
        <v>12</v>
      </c>
      <c r="D35" s="927" t="s">
        <v>13</v>
      </c>
      <c r="E35" s="927" t="s">
        <v>50</v>
      </c>
      <c r="F35" s="922" t="s">
        <v>27</v>
      </c>
      <c r="G35" s="928" t="s">
        <v>17</v>
      </c>
    </row>
    <row r="36" spans="1:7" ht="17.25">
      <c r="A36" s="926">
        <v>44890</v>
      </c>
      <c r="B36" s="930" t="s">
        <v>27</v>
      </c>
      <c r="C36" s="1099" t="s">
        <v>50</v>
      </c>
      <c r="D36" s="1100"/>
      <c r="E36" s="1101"/>
      <c r="F36" s="930" t="s">
        <v>50</v>
      </c>
      <c r="G36" s="931" t="s">
        <v>21</v>
      </c>
    </row>
    <row r="37" spans="1:7" ht="17.25">
      <c r="A37" s="926">
        <v>44891</v>
      </c>
      <c r="B37" s="922" t="s">
        <v>22</v>
      </c>
      <c r="C37" s="927" t="s">
        <v>12</v>
      </c>
      <c r="D37" s="927" t="s">
        <v>13</v>
      </c>
      <c r="E37" s="927" t="s">
        <v>14</v>
      </c>
      <c r="F37" s="922" t="s">
        <v>21</v>
      </c>
      <c r="G37" s="928" t="s">
        <v>50</v>
      </c>
    </row>
    <row r="38" spans="1:7" ht="17.25">
      <c r="A38" s="926">
        <v>44892</v>
      </c>
      <c r="B38" s="922" t="s">
        <v>28</v>
      </c>
      <c r="C38" s="927" t="s">
        <v>12</v>
      </c>
      <c r="D38" s="927" t="s">
        <v>13</v>
      </c>
      <c r="E38" s="927" t="s">
        <v>14</v>
      </c>
      <c r="F38" s="922" t="s">
        <v>27</v>
      </c>
      <c r="G38" s="928" t="s">
        <v>44</v>
      </c>
    </row>
    <row r="39" spans="1:7" ht="17.25">
      <c r="A39" s="926">
        <v>44893</v>
      </c>
      <c r="B39" s="922" t="s">
        <v>22</v>
      </c>
      <c r="C39" s="927" t="s">
        <v>12</v>
      </c>
      <c r="D39" s="927" t="s">
        <v>13</v>
      </c>
      <c r="E39" s="933" t="s">
        <v>51</v>
      </c>
      <c r="F39" s="932" t="s">
        <v>21</v>
      </c>
      <c r="G39" s="928" t="s">
        <v>17</v>
      </c>
    </row>
    <row r="40" spans="1:7" ht="17.25">
      <c r="A40" s="926">
        <v>44894</v>
      </c>
      <c r="B40" s="922" t="s">
        <v>22</v>
      </c>
      <c r="C40" s="927" t="s">
        <v>12</v>
      </c>
      <c r="D40" s="927" t="s">
        <v>13</v>
      </c>
      <c r="E40" s="933" t="s">
        <v>51</v>
      </c>
      <c r="F40" s="932" t="s">
        <v>21</v>
      </c>
      <c r="G40" s="928" t="s">
        <v>29</v>
      </c>
    </row>
    <row r="41" spans="1:7" ht="17.25">
      <c r="A41" s="934">
        <v>44895</v>
      </c>
      <c r="B41" s="935" t="s">
        <v>28</v>
      </c>
      <c r="C41" s="936" t="s">
        <v>12</v>
      </c>
      <c r="D41" s="936" t="s">
        <v>13</v>
      </c>
      <c r="E41" s="937" t="s">
        <v>51</v>
      </c>
      <c r="F41" s="935" t="s">
        <v>27</v>
      </c>
      <c r="G41" s="938" t="s">
        <v>17</v>
      </c>
    </row>
    <row r="42" spans="1:7">
      <c r="B42"/>
    </row>
    <row r="43" spans="1:7">
      <c r="B43"/>
    </row>
    <row r="44" spans="1:7">
      <c r="B44"/>
    </row>
    <row r="45" spans="1:7">
      <c r="B45"/>
    </row>
    <row r="46" spans="1:7">
      <c r="B46"/>
    </row>
    <row r="47" spans="1:7">
      <c r="B47"/>
    </row>
    <row r="48" spans="1:7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  <row r="4623" spans="2:2">
      <c r="B4623"/>
    </row>
    <row r="4624" spans="2:2">
      <c r="B4624"/>
    </row>
    <row r="4625" spans="2:2">
      <c r="B4625"/>
    </row>
    <row r="4626" spans="2:2">
      <c r="B4626"/>
    </row>
    <row r="4627" spans="2:2">
      <c r="B4627"/>
    </row>
    <row r="4628" spans="2:2">
      <c r="B4628"/>
    </row>
    <row r="4629" spans="2:2">
      <c r="B4629"/>
    </row>
    <row r="4630" spans="2:2">
      <c r="B4630"/>
    </row>
    <row r="4631" spans="2:2">
      <c r="B4631"/>
    </row>
    <row r="4632" spans="2:2">
      <c r="B4632"/>
    </row>
    <row r="4633" spans="2:2">
      <c r="B4633"/>
    </row>
    <row r="4634" spans="2:2">
      <c r="B4634"/>
    </row>
    <row r="4635" spans="2:2">
      <c r="B4635"/>
    </row>
    <row r="4636" spans="2:2">
      <c r="B4636"/>
    </row>
    <row r="4637" spans="2:2">
      <c r="B4637"/>
    </row>
    <row r="4638" spans="2:2">
      <c r="B4638"/>
    </row>
    <row r="4639" spans="2:2">
      <c r="B4639"/>
    </row>
    <row r="4640" spans="2:2">
      <c r="B4640"/>
    </row>
    <row r="4641" spans="2:2">
      <c r="B4641"/>
    </row>
    <row r="4642" spans="2:2">
      <c r="B4642"/>
    </row>
    <row r="4643" spans="2:2">
      <c r="B4643"/>
    </row>
    <row r="4644" spans="2:2">
      <c r="B4644"/>
    </row>
    <row r="4645" spans="2:2">
      <c r="B4645"/>
    </row>
    <row r="4646" spans="2:2">
      <c r="B4646"/>
    </row>
    <row r="4647" spans="2:2">
      <c r="B4647"/>
    </row>
    <row r="4648" spans="2:2">
      <c r="B4648"/>
    </row>
    <row r="4649" spans="2:2">
      <c r="B4649"/>
    </row>
    <row r="4650" spans="2:2">
      <c r="B4650"/>
    </row>
    <row r="4651" spans="2:2">
      <c r="B4651"/>
    </row>
    <row r="4652" spans="2:2">
      <c r="B4652"/>
    </row>
    <row r="4653" spans="2:2">
      <c r="B4653"/>
    </row>
    <row r="4654" spans="2:2">
      <c r="B4654"/>
    </row>
    <row r="4655" spans="2:2">
      <c r="B4655"/>
    </row>
    <row r="4656" spans="2:2">
      <c r="B4656"/>
    </row>
    <row r="4657" spans="2:2">
      <c r="B4657"/>
    </row>
    <row r="4658" spans="2:2">
      <c r="B4658"/>
    </row>
    <row r="4659" spans="2:2">
      <c r="B4659"/>
    </row>
    <row r="4660" spans="2:2">
      <c r="B4660"/>
    </row>
    <row r="4661" spans="2:2">
      <c r="B4661"/>
    </row>
    <row r="4662" spans="2:2">
      <c r="B4662"/>
    </row>
    <row r="4663" spans="2:2">
      <c r="B4663"/>
    </row>
    <row r="4664" spans="2:2">
      <c r="B4664"/>
    </row>
    <row r="4665" spans="2:2">
      <c r="B4665"/>
    </row>
    <row r="4666" spans="2:2">
      <c r="B4666"/>
    </row>
    <row r="4667" spans="2:2">
      <c r="B4667"/>
    </row>
    <row r="4668" spans="2:2">
      <c r="B4668"/>
    </row>
    <row r="4669" spans="2:2">
      <c r="B4669"/>
    </row>
    <row r="4670" spans="2:2">
      <c r="B4670"/>
    </row>
    <row r="4671" spans="2:2">
      <c r="B4671"/>
    </row>
    <row r="4672" spans="2:2">
      <c r="B4672"/>
    </row>
    <row r="4673" spans="2:2">
      <c r="B4673"/>
    </row>
    <row r="4674" spans="2:2">
      <c r="B4674"/>
    </row>
    <row r="4675" spans="2:2">
      <c r="B4675"/>
    </row>
    <row r="4676" spans="2:2">
      <c r="B4676"/>
    </row>
    <row r="4677" spans="2:2">
      <c r="B4677"/>
    </row>
    <row r="4678" spans="2:2">
      <c r="B4678"/>
    </row>
    <row r="4679" spans="2:2">
      <c r="B4679"/>
    </row>
    <row r="4680" spans="2:2">
      <c r="B4680"/>
    </row>
    <row r="4681" spans="2:2">
      <c r="B4681"/>
    </row>
    <row r="4682" spans="2:2">
      <c r="B4682"/>
    </row>
    <row r="4683" spans="2:2">
      <c r="B4683"/>
    </row>
    <row r="4684" spans="2:2">
      <c r="B4684"/>
    </row>
    <row r="4685" spans="2:2">
      <c r="B4685"/>
    </row>
    <row r="4686" spans="2:2">
      <c r="B4686"/>
    </row>
    <row r="4687" spans="2:2">
      <c r="B4687"/>
    </row>
    <row r="4688" spans="2:2">
      <c r="B4688"/>
    </row>
    <row r="4689" spans="2:2">
      <c r="B4689"/>
    </row>
    <row r="4690" spans="2:2">
      <c r="B4690"/>
    </row>
    <row r="4691" spans="2:2">
      <c r="B4691"/>
    </row>
    <row r="4692" spans="2:2">
      <c r="B4692"/>
    </row>
    <row r="4693" spans="2:2">
      <c r="B4693"/>
    </row>
    <row r="4694" spans="2:2">
      <c r="B4694"/>
    </row>
    <row r="4695" spans="2:2">
      <c r="B4695"/>
    </row>
    <row r="4696" spans="2:2">
      <c r="B4696"/>
    </row>
    <row r="4697" spans="2:2">
      <c r="B4697"/>
    </row>
    <row r="4698" spans="2:2">
      <c r="B4698"/>
    </row>
    <row r="4699" spans="2:2">
      <c r="B4699"/>
    </row>
    <row r="4700" spans="2:2">
      <c r="B4700"/>
    </row>
    <row r="4701" spans="2:2">
      <c r="B4701"/>
    </row>
    <row r="4702" spans="2:2">
      <c r="B4702"/>
    </row>
    <row r="4703" spans="2:2">
      <c r="B4703"/>
    </row>
    <row r="4704" spans="2:2">
      <c r="B4704"/>
    </row>
    <row r="4705" spans="2:2">
      <c r="B4705"/>
    </row>
    <row r="4706" spans="2:2">
      <c r="B4706"/>
    </row>
    <row r="4707" spans="2:2">
      <c r="B4707"/>
    </row>
    <row r="4708" spans="2:2">
      <c r="B4708"/>
    </row>
    <row r="4709" spans="2:2">
      <c r="B4709"/>
    </row>
    <row r="4710" spans="2:2">
      <c r="B4710"/>
    </row>
    <row r="4711" spans="2:2">
      <c r="B4711"/>
    </row>
    <row r="4712" spans="2:2">
      <c r="B4712"/>
    </row>
    <row r="4713" spans="2:2">
      <c r="B4713"/>
    </row>
    <row r="4714" spans="2:2">
      <c r="B4714"/>
    </row>
    <row r="4715" spans="2:2">
      <c r="B4715"/>
    </row>
    <row r="4716" spans="2:2">
      <c r="B4716"/>
    </row>
    <row r="4717" spans="2:2">
      <c r="B4717"/>
    </row>
    <row r="4718" spans="2:2">
      <c r="B4718"/>
    </row>
    <row r="4719" spans="2:2">
      <c r="B4719"/>
    </row>
    <row r="4720" spans="2:2">
      <c r="B4720"/>
    </row>
    <row r="4721" spans="2:2">
      <c r="B4721"/>
    </row>
    <row r="4722" spans="2:2">
      <c r="B4722"/>
    </row>
    <row r="4723" spans="2:2">
      <c r="B4723"/>
    </row>
    <row r="4724" spans="2:2">
      <c r="B4724"/>
    </row>
    <row r="4725" spans="2:2">
      <c r="B4725"/>
    </row>
    <row r="4726" spans="2:2">
      <c r="B4726"/>
    </row>
    <row r="4727" spans="2:2">
      <c r="B4727"/>
    </row>
    <row r="4728" spans="2:2">
      <c r="B4728"/>
    </row>
    <row r="4729" spans="2:2">
      <c r="B4729"/>
    </row>
    <row r="4730" spans="2:2">
      <c r="B4730"/>
    </row>
    <row r="4731" spans="2:2">
      <c r="B4731"/>
    </row>
    <row r="4732" spans="2:2">
      <c r="B4732"/>
    </row>
    <row r="4733" spans="2:2">
      <c r="B4733"/>
    </row>
    <row r="4734" spans="2:2">
      <c r="B4734"/>
    </row>
    <row r="4735" spans="2:2">
      <c r="B4735"/>
    </row>
    <row r="4736" spans="2:2">
      <c r="B4736"/>
    </row>
    <row r="4737" spans="2:2">
      <c r="B4737"/>
    </row>
    <row r="4738" spans="2:2">
      <c r="B4738"/>
    </row>
    <row r="4739" spans="2:2">
      <c r="B4739"/>
    </row>
    <row r="4740" spans="2:2">
      <c r="B4740"/>
    </row>
    <row r="4741" spans="2:2">
      <c r="B4741"/>
    </row>
    <row r="4742" spans="2:2">
      <c r="B4742"/>
    </row>
    <row r="4743" spans="2:2">
      <c r="B4743"/>
    </row>
    <row r="4744" spans="2:2">
      <c r="B4744"/>
    </row>
    <row r="4745" spans="2:2">
      <c r="B4745"/>
    </row>
    <row r="4746" spans="2:2">
      <c r="B4746"/>
    </row>
    <row r="4747" spans="2:2">
      <c r="B4747"/>
    </row>
    <row r="4748" spans="2:2">
      <c r="B4748"/>
    </row>
    <row r="4749" spans="2:2">
      <c r="B4749"/>
    </row>
    <row r="4750" spans="2:2">
      <c r="B4750"/>
    </row>
    <row r="4751" spans="2:2">
      <c r="B4751"/>
    </row>
    <row r="4752" spans="2:2">
      <c r="B4752"/>
    </row>
    <row r="4753" spans="2:2">
      <c r="B4753"/>
    </row>
    <row r="4754" spans="2:2">
      <c r="B4754"/>
    </row>
    <row r="4755" spans="2:2">
      <c r="B4755"/>
    </row>
    <row r="4756" spans="2:2">
      <c r="B4756"/>
    </row>
    <row r="4757" spans="2:2">
      <c r="B4757"/>
    </row>
    <row r="4758" spans="2:2">
      <c r="B4758"/>
    </row>
    <row r="4759" spans="2:2">
      <c r="B4759"/>
    </row>
    <row r="4760" spans="2:2">
      <c r="B4760"/>
    </row>
    <row r="4761" spans="2:2">
      <c r="B4761"/>
    </row>
    <row r="4762" spans="2:2">
      <c r="B4762"/>
    </row>
    <row r="4763" spans="2:2">
      <c r="B4763"/>
    </row>
    <row r="4764" spans="2:2">
      <c r="B4764"/>
    </row>
    <row r="4765" spans="2:2">
      <c r="B4765"/>
    </row>
    <row r="4766" spans="2:2">
      <c r="B4766"/>
    </row>
    <row r="4767" spans="2:2">
      <c r="B4767"/>
    </row>
    <row r="4768" spans="2:2">
      <c r="B4768"/>
    </row>
    <row r="4769" spans="2:2">
      <c r="B4769"/>
    </row>
    <row r="4770" spans="2:2">
      <c r="B4770"/>
    </row>
    <row r="4771" spans="2:2">
      <c r="B4771"/>
    </row>
    <row r="4772" spans="2:2">
      <c r="B4772"/>
    </row>
    <row r="4773" spans="2:2">
      <c r="B4773"/>
    </row>
    <row r="4774" spans="2:2">
      <c r="B4774"/>
    </row>
    <row r="4775" spans="2:2">
      <c r="B4775"/>
    </row>
    <row r="4776" spans="2:2">
      <c r="B4776"/>
    </row>
    <row r="4777" spans="2:2">
      <c r="B4777"/>
    </row>
    <row r="4778" spans="2:2">
      <c r="B4778"/>
    </row>
    <row r="4779" spans="2:2">
      <c r="B4779"/>
    </row>
    <row r="4780" spans="2:2">
      <c r="B4780"/>
    </row>
    <row r="4781" spans="2:2">
      <c r="B4781"/>
    </row>
    <row r="4782" spans="2:2">
      <c r="B4782"/>
    </row>
    <row r="4783" spans="2:2">
      <c r="B4783"/>
    </row>
    <row r="4784" spans="2:2">
      <c r="B4784"/>
    </row>
    <row r="4785" spans="2:2">
      <c r="B4785"/>
    </row>
    <row r="4786" spans="2:2">
      <c r="B4786"/>
    </row>
    <row r="4787" spans="2:2">
      <c r="B4787"/>
    </row>
    <row r="4788" spans="2:2">
      <c r="B4788"/>
    </row>
    <row r="4789" spans="2:2">
      <c r="B4789"/>
    </row>
    <row r="4790" spans="2:2">
      <c r="B4790"/>
    </row>
    <row r="4791" spans="2:2">
      <c r="B4791"/>
    </row>
    <row r="4792" spans="2:2">
      <c r="B4792"/>
    </row>
    <row r="4793" spans="2:2">
      <c r="B4793"/>
    </row>
    <row r="4794" spans="2:2">
      <c r="B4794"/>
    </row>
    <row r="4795" spans="2:2">
      <c r="B4795"/>
    </row>
    <row r="4796" spans="2:2">
      <c r="B4796"/>
    </row>
    <row r="4797" spans="2:2">
      <c r="B4797"/>
    </row>
    <row r="4798" spans="2:2">
      <c r="B4798"/>
    </row>
    <row r="4799" spans="2:2">
      <c r="B4799"/>
    </row>
    <row r="4800" spans="2:2">
      <c r="B4800"/>
    </row>
    <row r="4801" spans="2:2">
      <c r="B4801"/>
    </row>
    <row r="4802" spans="2:2">
      <c r="B4802"/>
    </row>
    <row r="4803" spans="2:2">
      <c r="B4803"/>
    </row>
    <row r="4804" spans="2:2">
      <c r="B4804"/>
    </row>
    <row r="4805" spans="2:2">
      <c r="B4805"/>
    </row>
    <row r="4806" spans="2:2">
      <c r="B4806"/>
    </row>
    <row r="4807" spans="2:2">
      <c r="B4807"/>
    </row>
    <row r="4808" spans="2:2">
      <c r="B4808"/>
    </row>
    <row r="4809" spans="2:2">
      <c r="B4809"/>
    </row>
    <row r="4810" spans="2:2">
      <c r="B4810"/>
    </row>
    <row r="4811" spans="2:2">
      <c r="B4811"/>
    </row>
    <row r="4812" spans="2:2">
      <c r="B4812"/>
    </row>
    <row r="4813" spans="2:2">
      <c r="B4813"/>
    </row>
    <row r="4814" spans="2:2">
      <c r="B4814"/>
    </row>
    <row r="4815" spans="2:2">
      <c r="B4815"/>
    </row>
    <row r="4816" spans="2:2">
      <c r="B4816"/>
    </row>
    <row r="4817" spans="2:2">
      <c r="B4817"/>
    </row>
    <row r="4818" spans="2:2">
      <c r="B4818"/>
    </row>
    <row r="4819" spans="2:2">
      <c r="B4819"/>
    </row>
    <row r="4820" spans="2:2">
      <c r="B4820"/>
    </row>
    <row r="4821" spans="2:2">
      <c r="B4821"/>
    </row>
    <row r="4822" spans="2:2">
      <c r="B4822"/>
    </row>
    <row r="4823" spans="2:2">
      <c r="B4823"/>
    </row>
    <row r="4824" spans="2:2">
      <c r="B4824"/>
    </row>
    <row r="4825" spans="2:2">
      <c r="B4825"/>
    </row>
    <row r="4826" spans="2:2">
      <c r="B4826"/>
    </row>
    <row r="4827" spans="2:2">
      <c r="B4827"/>
    </row>
    <row r="4828" spans="2:2">
      <c r="B4828"/>
    </row>
    <row r="4829" spans="2:2">
      <c r="B4829"/>
    </row>
    <row r="4830" spans="2:2">
      <c r="B4830"/>
    </row>
    <row r="4831" spans="2:2">
      <c r="B4831"/>
    </row>
    <row r="4832" spans="2:2">
      <c r="B4832"/>
    </row>
    <row r="4833" spans="2:2">
      <c r="B4833"/>
    </row>
    <row r="4834" spans="2:2">
      <c r="B4834"/>
    </row>
    <row r="4835" spans="2:2">
      <c r="B4835"/>
    </row>
    <row r="4836" spans="2:2">
      <c r="B4836"/>
    </row>
    <row r="4837" spans="2:2">
      <c r="B4837"/>
    </row>
    <row r="4838" spans="2:2">
      <c r="B4838"/>
    </row>
    <row r="4839" spans="2:2">
      <c r="B4839"/>
    </row>
    <row r="4840" spans="2:2">
      <c r="B4840"/>
    </row>
    <row r="4841" spans="2:2">
      <c r="B4841"/>
    </row>
    <row r="4842" spans="2:2">
      <c r="B4842"/>
    </row>
    <row r="4843" spans="2:2">
      <c r="B4843"/>
    </row>
    <row r="4844" spans="2:2">
      <c r="B4844"/>
    </row>
    <row r="4845" spans="2:2">
      <c r="B4845"/>
    </row>
    <row r="4846" spans="2:2">
      <c r="B4846"/>
    </row>
    <row r="4847" spans="2:2">
      <c r="B4847"/>
    </row>
    <row r="4848" spans="2:2">
      <c r="B4848"/>
    </row>
    <row r="4849" spans="2:2">
      <c r="B4849"/>
    </row>
    <row r="4850" spans="2:2">
      <c r="B4850"/>
    </row>
    <row r="4851" spans="2:2">
      <c r="B4851"/>
    </row>
    <row r="4852" spans="2:2">
      <c r="B4852"/>
    </row>
    <row r="4853" spans="2:2">
      <c r="B4853"/>
    </row>
    <row r="4854" spans="2:2">
      <c r="B4854"/>
    </row>
    <row r="4855" spans="2:2">
      <c r="B4855"/>
    </row>
    <row r="4856" spans="2:2">
      <c r="B4856"/>
    </row>
    <row r="4857" spans="2:2">
      <c r="B4857"/>
    </row>
    <row r="4858" spans="2:2">
      <c r="B4858"/>
    </row>
    <row r="4859" spans="2:2">
      <c r="B4859"/>
    </row>
    <row r="4860" spans="2:2">
      <c r="B4860"/>
    </row>
    <row r="4861" spans="2:2">
      <c r="B4861"/>
    </row>
    <row r="4862" spans="2:2">
      <c r="B4862"/>
    </row>
    <row r="4863" spans="2:2">
      <c r="B4863"/>
    </row>
    <row r="4864" spans="2:2">
      <c r="B4864"/>
    </row>
    <row r="4865" spans="2:2">
      <c r="B4865"/>
    </row>
    <row r="4866" spans="2:2">
      <c r="B4866"/>
    </row>
    <row r="4867" spans="2:2">
      <c r="B4867"/>
    </row>
    <row r="4868" spans="2:2">
      <c r="B4868"/>
    </row>
    <row r="4869" spans="2:2">
      <c r="B4869"/>
    </row>
    <row r="4870" spans="2:2">
      <c r="B4870"/>
    </row>
    <row r="4871" spans="2:2">
      <c r="B4871"/>
    </row>
    <row r="4872" spans="2:2">
      <c r="B4872"/>
    </row>
    <row r="4873" spans="2:2">
      <c r="B4873"/>
    </row>
    <row r="4874" spans="2:2">
      <c r="B4874"/>
    </row>
    <row r="4875" spans="2:2">
      <c r="B4875"/>
    </row>
    <row r="4876" spans="2:2">
      <c r="B4876"/>
    </row>
    <row r="4877" spans="2:2">
      <c r="B4877"/>
    </row>
    <row r="4878" spans="2:2">
      <c r="B4878"/>
    </row>
    <row r="4879" spans="2:2">
      <c r="B4879"/>
    </row>
    <row r="4880" spans="2:2">
      <c r="B4880"/>
    </row>
    <row r="4881" spans="2:2">
      <c r="B4881"/>
    </row>
    <row r="4882" spans="2:2">
      <c r="B4882"/>
    </row>
    <row r="4883" spans="2:2">
      <c r="B4883"/>
    </row>
    <row r="4884" spans="2:2">
      <c r="B4884"/>
    </row>
    <row r="4885" spans="2:2">
      <c r="B4885"/>
    </row>
    <row r="4886" spans="2:2">
      <c r="B4886"/>
    </row>
    <row r="4887" spans="2:2">
      <c r="B4887"/>
    </row>
    <row r="4888" spans="2:2">
      <c r="B4888"/>
    </row>
    <row r="4889" spans="2:2">
      <c r="B4889"/>
    </row>
    <row r="4890" spans="2:2">
      <c r="B4890"/>
    </row>
    <row r="4891" spans="2:2">
      <c r="B4891"/>
    </row>
    <row r="4892" spans="2:2">
      <c r="B4892"/>
    </row>
    <row r="4893" spans="2:2">
      <c r="B4893"/>
    </row>
    <row r="4894" spans="2:2">
      <c r="B4894"/>
    </row>
    <row r="4895" spans="2:2">
      <c r="B4895"/>
    </row>
    <row r="4896" spans="2:2">
      <c r="B4896"/>
    </row>
    <row r="4897" spans="2:2">
      <c r="B4897"/>
    </row>
    <row r="4898" spans="2:2">
      <c r="B4898"/>
    </row>
    <row r="4899" spans="2:2">
      <c r="B4899"/>
    </row>
    <row r="4900" spans="2:2">
      <c r="B4900"/>
    </row>
    <row r="4901" spans="2:2">
      <c r="B4901"/>
    </row>
    <row r="4902" spans="2:2">
      <c r="B4902"/>
    </row>
    <row r="4903" spans="2:2">
      <c r="B4903"/>
    </row>
    <row r="4904" spans="2:2">
      <c r="B4904"/>
    </row>
    <row r="4905" spans="2:2">
      <c r="B4905"/>
    </row>
    <row r="4906" spans="2:2">
      <c r="B4906"/>
    </row>
    <row r="4907" spans="2:2">
      <c r="B4907"/>
    </row>
    <row r="4908" spans="2:2">
      <c r="B4908"/>
    </row>
    <row r="4909" spans="2:2">
      <c r="B4909"/>
    </row>
    <row r="4910" spans="2:2">
      <c r="B4910"/>
    </row>
    <row r="4911" spans="2:2">
      <c r="B4911"/>
    </row>
    <row r="4912" spans="2:2">
      <c r="B4912"/>
    </row>
    <row r="4913" spans="2:2">
      <c r="B4913"/>
    </row>
    <row r="4914" spans="2:2">
      <c r="B4914"/>
    </row>
    <row r="4915" spans="2:2">
      <c r="B4915"/>
    </row>
    <row r="4916" spans="2:2">
      <c r="B4916"/>
    </row>
    <row r="4917" spans="2:2">
      <c r="B4917"/>
    </row>
    <row r="4918" spans="2:2">
      <c r="B4918"/>
    </row>
    <row r="4919" spans="2:2">
      <c r="B4919"/>
    </row>
    <row r="4920" spans="2:2">
      <c r="B4920"/>
    </row>
    <row r="4921" spans="2:2">
      <c r="B4921"/>
    </row>
    <row r="4922" spans="2:2">
      <c r="B4922"/>
    </row>
    <row r="4923" spans="2:2">
      <c r="B4923"/>
    </row>
    <row r="4924" spans="2:2">
      <c r="B4924"/>
    </row>
    <row r="4925" spans="2:2">
      <c r="B4925"/>
    </row>
    <row r="4926" spans="2:2">
      <c r="B4926"/>
    </row>
    <row r="4927" spans="2:2">
      <c r="B4927"/>
    </row>
    <row r="4928" spans="2:2">
      <c r="B4928"/>
    </row>
    <row r="4929" spans="2:2">
      <c r="B4929"/>
    </row>
    <row r="4930" spans="2:2">
      <c r="B4930"/>
    </row>
    <row r="4931" spans="2:2">
      <c r="B4931"/>
    </row>
    <row r="4932" spans="2:2">
      <c r="B4932"/>
    </row>
    <row r="4933" spans="2:2">
      <c r="B4933"/>
    </row>
    <row r="4934" spans="2:2">
      <c r="B4934"/>
    </row>
    <row r="4935" spans="2:2">
      <c r="B4935"/>
    </row>
    <row r="4936" spans="2:2">
      <c r="B4936"/>
    </row>
    <row r="4937" spans="2:2">
      <c r="B4937"/>
    </row>
    <row r="4938" spans="2:2">
      <c r="B4938"/>
    </row>
    <row r="4939" spans="2:2">
      <c r="B4939"/>
    </row>
    <row r="4940" spans="2:2">
      <c r="B4940"/>
    </row>
    <row r="4941" spans="2:2">
      <c r="B4941"/>
    </row>
    <row r="4942" spans="2:2">
      <c r="B4942"/>
    </row>
    <row r="4943" spans="2:2">
      <c r="B4943"/>
    </row>
    <row r="4944" spans="2:2">
      <c r="B4944"/>
    </row>
    <row r="4945" spans="2:2">
      <c r="B4945"/>
    </row>
    <row r="4946" spans="2:2">
      <c r="B4946"/>
    </row>
    <row r="4947" spans="2:2">
      <c r="B4947"/>
    </row>
    <row r="4948" spans="2:2">
      <c r="B4948"/>
    </row>
    <row r="4949" spans="2:2">
      <c r="B4949"/>
    </row>
    <row r="4950" spans="2:2">
      <c r="B4950"/>
    </row>
    <row r="4951" spans="2:2">
      <c r="B4951"/>
    </row>
    <row r="4952" spans="2:2">
      <c r="B4952"/>
    </row>
    <row r="4953" spans="2:2">
      <c r="B4953"/>
    </row>
    <row r="4954" spans="2:2">
      <c r="B4954"/>
    </row>
    <row r="4955" spans="2:2">
      <c r="B4955"/>
    </row>
    <row r="4956" spans="2:2">
      <c r="B4956"/>
    </row>
    <row r="4957" spans="2:2">
      <c r="B4957"/>
    </row>
    <row r="4958" spans="2:2">
      <c r="B4958"/>
    </row>
    <row r="4959" spans="2:2">
      <c r="B4959"/>
    </row>
    <row r="4960" spans="2:2">
      <c r="B4960"/>
    </row>
    <row r="4961" spans="2:2">
      <c r="B4961"/>
    </row>
    <row r="4962" spans="2:2">
      <c r="B4962"/>
    </row>
    <row r="4963" spans="2:2">
      <c r="B4963"/>
    </row>
    <row r="4964" spans="2:2">
      <c r="B4964"/>
    </row>
    <row r="4965" spans="2:2">
      <c r="B4965"/>
    </row>
    <row r="4966" spans="2:2">
      <c r="B4966"/>
    </row>
    <row r="4967" spans="2:2">
      <c r="B4967"/>
    </row>
    <row r="4968" spans="2:2">
      <c r="B4968"/>
    </row>
    <row r="4969" spans="2:2">
      <c r="B4969"/>
    </row>
    <row r="4970" spans="2:2">
      <c r="B4970"/>
    </row>
    <row r="4971" spans="2:2">
      <c r="B4971"/>
    </row>
    <row r="4972" spans="2:2">
      <c r="B4972"/>
    </row>
    <row r="4973" spans="2:2">
      <c r="B4973"/>
    </row>
    <row r="4974" spans="2:2">
      <c r="B4974"/>
    </row>
    <row r="4975" spans="2:2">
      <c r="B4975"/>
    </row>
    <row r="4976" spans="2:2">
      <c r="B4976"/>
    </row>
    <row r="4977" spans="2:2">
      <c r="B4977"/>
    </row>
    <row r="4978" spans="2:2">
      <c r="B4978"/>
    </row>
    <row r="4979" spans="2:2">
      <c r="B4979"/>
    </row>
    <row r="4980" spans="2:2">
      <c r="B4980"/>
    </row>
    <row r="4981" spans="2:2">
      <c r="B4981"/>
    </row>
    <row r="4982" spans="2:2">
      <c r="B4982"/>
    </row>
    <row r="4983" spans="2:2">
      <c r="B4983"/>
    </row>
    <row r="4984" spans="2:2">
      <c r="B4984"/>
    </row>
    <row r="4985" spans="2:2">
      <c r="B4985"/>
    </row>
    <row r="4986" spans="2:2">
      <c r="B4986"/>
    </row>
    <row r="4987" spans="2:2">
      <c r="B4987"/>
    </row>
    <row r="4988" spans="2:2">
      <c r="B4988"/>
    </row>
    <row r="4989" spans="2:2">
      <c r="B4989"/>
    </row>
    <row r="4990" spans="2:2">
      <c r="B4990"/>
    </row>
    <row r="4991" spans="2:2">
      <c r="B4991"/>
    </row>
    <row r="4992" spans="2:2">
      <c r="B4992"/>
    </row>
    <row r="4993" spans="2:2">
      <c r="B4993"/>
    </row>
    <row r="4994" spans="2:2">
      <c r="B4994"/>
    </row>
    <row r="4995" spans="2:2">
      <c r="B4995"/>
    </row>
    <row r="4996" spans="2:2">
      <c r="B4996"/>
    </row>
    <row r="4997" spans="2:2">
      <c r="B4997"/>
    </row>
    <row r="4998" spans="2:2">
      <c r="B4998"/>
    </row>
    <row r="4999" spans="2:2">
      <c r="B4999"/>
    </row>
    <row r="5000" spans="2:2">
      <c r="B5000"/>
    </row>
    <row r="5001" spans="2:2">
      <c r="B5001"/>
    </row>
    <row r="5002" spans="2:2">
      <c r="B5002"/>
    </row>
    <row r="5003" spans="2:2">
      <c r="B5003"/>
    </row>
    <row r="5004" spans="2:2">
      <c r="B5004"/>
    </row>
    <row r="5005" spans="2:2">
      <c r="B5005"/>
    </row>
    <row r="5006" spans="2:2">
      <c r="B5006"/>
    </row>
    <row r="5007" spans="2:2">
      <c r="B5007"/>
    </row>
    <row r="5008" spans="2:2">
      <c r="B5008"/>
    </row>
    <row r="5009" spans="2:2">
      <c r="B5009"/>
    </row>
    <row r="5010" spans="2:2">
      <c r="B5010"/>
    </row>
    <row r="5011" spans="2:2">
      <c r="B5011"/>
    </row>
    <row r="5012" spans="2:2">
      <c r="B5012"/>
    </row>
    <row r="5013" spans="2:2">
      <c r="B5013"/>
    </row>
    <row r="5014" spans="2:2">
      <c r="B5014"/>
    </row>
    <row r="5015" spans="2:2">
      <c r="B5015"/>
    </row>
    <row r="5016" spans="2:2">
      <c r="B5016"/>
    </row>
    <row r="5017" spans="2:2">
      <c r="B5017"/>
    </row>
    <row r="5018" spans="2:2">
      <c r="B5018"/>
    </row>
    <row r="5019" spans="2:2">
      <c r="B5019"/>
    </row>
    <row r="5020" spans="2:2">
      <c r="B5020"/>
    </row>
    <row r="5021" spans="2:2">
      <c r="B5021"/>
    </row>
    <row r="5022" spans="2:2">
      <c r="B5022"/>
    </row>
    <row r="5023" spans="2:2">
      <c r="B5023"/>
    </row>
    <row r="5024" spans="2:2">
      <c r="B5024"/>
    </row>
    <row r="5025" spans="2:2">
      <c r="B5025"/>
    </row>
    <row r="5026" spans="2:2">
      <c r="B5026"/>
    </row>
    <row r="5027" spans="2:2">
      <c r="B5027"/>
    </row>
    <row r="5028" spans="2:2">
      <c r="B5028"/>
    </row>
    <row r="5029" spans="2:2">
      <c r="B5029"/>
    </row>
    <row r="5030" spans="2:2">
      <c r="B5030"/>
    </row>
    <row r="5031" spans="2:2">
      <c r="B5031"/>
    </row>
    <row r="5032" spans="2:2">
      <c r="B5032"/>
    </row>
    <row r="5033" spans="2:2">
      <c r="B5033"/>
    </row>
    <row r="5034" spans="2:2">
      <c r="B5034"/>
    </row>
    <row r="5035" spans="2:2">
      <c r="B5035"/>
    </row>
    <row r="5036" spans="2:2">
      <c r="B5036"/>
    </row>
    <row r="5037" spans="2:2">
      <c r="B5037"/>
    </row>
    <row r="5038" spans="2:2">
      <c r="B5038"/>
    </row>
    <row r="5039" spans="2:2">
      <c r="B5039"/>
    </row>
    <row r="5040" spans="2:2">
      <c r="B5040"/>
    </row>
    <row r="5041" spans="2:2">
      <c r="B5041"/>
    </row>
    <row r="5042" spans="2:2">
      <c r="B5042"/>
    </row>
    <row r="5043" spans="2:2">
      <c r="B5043"/>
    </row>
    <row r="5044" spans="2:2">
      <c r="B5044"/>
    </row>
    <row r="5045" spans="2:2">
      <c r="B5045"/>
    </row>
    <row r="5046" spans="2:2">
      <c r="B5046"/>
    </row>
    <row r="5047" spans="2:2">
      <c r="B5047"/>
    </row>
    <row r="5048" spans="2:2">
      <c r="B5048"/>
    </row>
    <row r="5049" spans="2:2">
      <c r="B5049"/>
    </row>
    <row r="5050" spans="2:2">
      <c r="B5050"/>
    </row>
    <row r="5051" spans="2:2">
      <c r="B5051"/>
    </row>
    <row r="5052" spans="2:2">
      <c r="B5052"/>
    </row>
    <row r="5053" spans="2:2">
      <c r="B5053"/>
    </row>
    <row r="5054" spans="2:2">
      <c r="B5054"/>
    </row>
    <row r="5055" spans="2:2">
      <c r="B5055"/>
    </row>
    <row r="5056" spans="2:2">
      <c r="B5056"/>
    </row>
    <row r="5057" spans="2:2">
      <c r="B5057"/>
    </row>
    <row r="5058" spans="2:2">
      <c r="B5058"/>
    </row>
    <row r="5059" spans="2:2">
      <c r="B5059"/>
    </row>
    <row r="5060" spans="2:2">
      <c r="B5060"/>
    </row>
    <row r="5061" spans="2:2">
      <c r="B5061"/>
    </row>
    <row r="5062" spans="2:2">
      <c r="B5062"/>
    </row>
    <row r="5063" spans="2:2">
      <c r="B5063"/>
    </row>
    <row r="5064" spans="2:2">
      <c r="B5064"/>
    </row>
    <row r="5065" spans="2:2">
      <c r="B5065"/>
    </row>
    <row r="5066" spans="2:2">
      <c r="B5066"/>
    </row>
    <row r="5067" spans="2:2">
      <c r="B5067"/>
    </row>
    <row r="5068" spans="2:2">
      <c r="B5068"/>
    </row>
    <row r="5069" spans="2:2">
      <c r="B5069"/>
    </row>
    <row r="5070" spans="2:2">
      <c r="B5070"/>
    </row>
    <row r="5071" spans="2:2">
      <c r="B5071"/>
    </row>
    <row r="5072" spans="2:2">
      <c r="B5072"/>
    </row>
    <row r="5073" spans="2:2">
      <c r="B5073"/>
    </row>
    <row r="5074" spans="2:2">
      <c r="B5074"/>
    </row>
    <row r="5075" spans="2:2">
      <c r="B5075"/>
    </row>
    <row r="5076" spans="2:2">
      <c r="B5076"/>
    </row>
    <row r="5077" spans="2:2">
      <c r="B5077"/>
    </row>
    <row r="5078" spans="2:2">
      <c r="B5078"/>
    </row>
    <row r="5079" spans="2:2">
      <c r="B5079"/>
    </row>
    <row r="5080" spans="2:2">
      <c r="B5080"/>
    </row>
    <row r="5081" spans="2:2">
      <c r="B5081"/>
    </row>
    <row r="5082" spans="2:2">
      <c r="B5082"/>
    </row>
    <row r="5083" spans="2:2">
      <c r="B5083"/>
    </row>
    <row r="5084" spans="2:2">
      <c r="B5084"/>
    </row>
    <row r="5085" spans="2:2">
      <c r="B5085"/>
    </row>
    <row r="5086" spans="2:2">
      <c r="B5086"/>
    </row>
    <row r="5087" spans="2:2">
      <c r="B5087"/>
    </row>
    <row r="5088" spans="2:2">
      <c r="B5088"/>
    </row>
    <row r="5089" spans="2:2">
      <c r="B5089"/>
    </row>
    <row r="5090" spans="2:2">
      <c r="B5090"/>
    </row>
    <row r="5091" spans="2:2">
      <c r="B5091"/>
    </row>
    <row r="5092" spans="2:2">
      <c r="B5092"/>
    </row>
    <row r="5093" spans="2:2">
      <c r="B5093"/>
    </row>
    <row r="5094" spans="2:2">
      <c r="B5094"/>
    </row>
    <row r="5095" spans="2:2">
      <c r="B5095"/>
    </row>
    <row r="5096" spans="2:2">
      <c r="B5096"/>
    </row>
    <row r="5097" spans="2:2">
      <c r="B5097"/>
    </row>
    <row r="5098" spans="2:2">
      <c r="B5098"/>
    </row>
    <row r="5099" spans="2:2">
      <c r="B5099"/>
    </row>
    <row r="5100" spans="2:2">
      <c r="B5100"/>
    </row>
    <row r="5101" spans="2:2">
      <c r="B5101"/>
    </row>
    <row r="5102" spans="2:2">
      <c r="B5102"/>
    </row>
    <row r="5103" spans="2:2">
      <c r="B5103"/>
    </row>
    <row r="5104" spans="2:2">
      <c r="B5104"/>
    </row>
    <row r="5105" spans="2:2">
      <c r="B5105"/>
    </row>
    <row r="5106" spans="2:2">
      <c r="B5106"/>
    </row>
    <row r="5107" spans="2:2">
      <c r="B5107"/>
    </row>
    <row r="5108" spans="2:2">
      <c r="B5108"/>
    </row>
    <row r="5109" spans="2:2">
      <c r="B5109"/>
    </row>
    <row r="5110" spans="2:2">
      <c r="B5110"/>
    </row>
    <row r="5111" spans="2:2">
      <c r="B5111"/>
    </row>
    <row r="5112" spans="2:2">
      <c r="B5112"/>
    </row>
    <row r="5113" spans="2:2">
      <c r="B5113"/>
    </row>
    <row r="5114" spans="2:2">
      <c r="B5114"/>
    </row>
    <row r="5115" spans="2:2">
      <c r="B5115"/>
    </row>
    <row r="5116" spans="2:2">
      <c r="B5116"/>
    </row>
    <row r="5117" spans="2:2">
      <c r="B5117"/>
    </row>
    <row r="5118" spans="2:2">
      <c r="B5118"/>
    </row>
    <row r="5119" spans="2:2">
      <c r="B5119"/>
    </row>
    <row r="5120" spans="2:2">
      <c r="B5120"/>
    </row>
    <row r="5121" spans="2:2">
      <c r="B5121"/>
    </row>
    <row r="5122" spans="2:2">
      <c r="B5122"/>
    </row>
    <row r="5123" spans="2:2">
      <c r="B5123"/>
    </row>
    <row r="5124" spans="2:2">
      <c r="B5124"/>
    </row>
    <row r="5125" spans="2:2">
      <c r="B5125"/>
    </row>
    <row r="5126" spans="2:2">
      <c r="B5126"/>
    </row>
    <row r="5127" spans="2:2">
      <c r="B5127"/>
    </row>
    <row r="5128" spans="2:2">
      <c r="B5128"/>
    </row>
    <row r="5129" spans="2:2">
      <c r="B5129"/>
    </row>
    <row r="5130" spans="2:2">
      <c r="B5130"/>
    </row>
    <row r="5131" spans="2:2">
      <c r="B5131"/>
    </row>
    <row r="5132" spans="2:2">
      <c r="B5132"/>
    </row>
    <row r="5133" spans="2:2">
      <c r="B5133"/>
    </row>
    <row r="5134" spans="2:2">
      <c r="B5134"/>
    </row>
    <row r="5135" spans="2:2">
      <c r="B5135"/>
    </row>
    <row r="5136" spans="2:2">
      <c r="B5136"/>
    </row>
    <row r="5137" spans="2:2">
      <c r="B5137"/>
    </row>
    <row r="5138" spans="2:2">
      <c r="B5138"/>
    </row>
    <row r="5139" spans="2:2">
      <c r="B5139"/>
    </row>
    <row r="5140" spans="2:2">
      <c r="B5140"/>
    </row>
    <row r="5141" spans="2:2">
      <c r="B5141"/>
    </row>
    <row r="5142" spans="2:2">
      <c r="B5142"/>
    </row>
    <row r="5143" spans="2:2">
      <c r="B5143"/>
    </row>
    <row r="5144" spans="2:2">
      <c r="B5144"/>
    </row>
    <row r="5145" spans="2:2">
      <c r="B5145"/>
    </row>
    <row r="5146" spans="2:2">
      <c r="B5146"/>
    </row>
    <row r="5147" spans="2:2">
      <c r="B5147"/>
    </row>
    <row r="5148" spans="2:2">
      <c r="B5148"/>
    </row>
    <row r="5149" spans="2:2">
      <c r="B5149"/>
    </row>
    <row r="5150" spans="2:2">
      <c r="B5150"/>
    </row>
    <row r="5151" spans="2:2">
      <c r="B5151"/>
    </row>
    <row r="5152" spans="2:2">
      <c r="B5152"/>
    </row>
    <row r="5153" spans="2:2">
      <c r="B5153"/>
    </row>
    <row r="5154" spans="2:2">
      <c r="B5154"/>
    </row>
    <row r="5155" spans="2:2">
      <c r="B5155"/>
    </row>
    <row r="5156" spans="2:2">
      <c r="B5156"/>
    </row>
    <row r="5157" spans="2:2">
      <c r="B5157"/>
    </row>
    <row r="5158" spans="2:2">
      <c r="B5158"/>
    </row>
    <row r="5159" spans="2:2">
      <c r="B5159"/>
    </row>
    <row r="5160" spans="2:2">
      <c r="B5160"/>
    </row>
    <row r="5161" spans="2:2">
      <c r="B5161"/>
    </row>
    <row r="5162" spans="2:2">
      <c r="B5162"/>
    </row>
    <row r="5163" spans="2:2">
      <c r="B5163"/>
    </row>
    <row r="5164" spans="2:2">
      <c r="B5164"/>
    </row>
    <row r="5165" spans="2:2">
      <c r="B5165"/>
    </row>
    <row r="5166" spans="2:2">
      <c r="B5166"/>
    </row>
    <row r="5167" spans="2:2">
      <c r="B5167"/>
    </row>
    <row r="5168" spans="2:2">
      <c r="B5168"/>
    </row>
    <row r="5169" spans="2:2">
      <c r="B5169"/>
    </row>
    <row r="5170" spans="2:2">
      <c r="B5170"/>
    </row>
    <row r="5171" spans="2:2">
      <c r="B5171"/>
    </row>
    <row r="5172" spans="2:2">
      <c r="B5172"/>
    </row>
    <row r="5173" spans="2:2">
      <c r="B5173"/>
    </row>
    <row r="5174" spans="2:2">
      <c r="B5174"/>
    </row>
    <row r="5175" spans="2:2">
      <c r="B5175"/>
    </row>
    <row r="5176" spans="2:2">
      <c r="B5176"/>
    </row>
    <row r="5177" spans="2:2">
      <c r="B5177"/>
    </row>
    <row r="5178" spans="2:2">
      <c r="B5178"/>
    </row>
    <row r="5179" spans="2:2">
      <c r="B5179"/>
    </row>
    <row r="5180" spans="2:2">
      <c r="B5180"/>
    </row>
    <row r="5181" spans="2:2">
      <c r="B5181"/>
    </row>
    <row r="5182" spans="2:2">
      <c r="B5182"/>
    </row>
    <row r="5183" spans="2:2">
      <c r="B5183"/>
    </row>
    <row r="5184" spans="2:2">
      <c r="B5184"/>
    </row>
    <row r="5185" spans="2:2">
      <c r="B5185"/>
    </row>
    <row r="5186" spans="2:2">
      <c r="B5186"/>
    </row>
    <row r="5187" spans="2:2">
      <c r="B5187"/>
    </row>
    <row r="5188" spans="2:2">
      <c r="B5188"/>
    </row>
    <row r="5189" spans="2:2">
      <c r="B5189"/>
    </row>
    <row r="5190" spans="2:2">
      <c r="B5190"/>
    </row>
    <row r="5191" spans="2:2">
      <c r="B5191"/>
    </row>
    <row r="5192" spans="2:2">
      <c r="B5192"/>
    </row>
    <row r="5193" spans="2:2">
      <c r="B5193"/>
    </row>
    <row r="5194" spans="2:2">
      <c r="B5194"/>
    </row>
    <row r="5195" spans="2:2">
      <c r="B5195"/>
    </row>
    <row r="5196" spans="2:2">
      <c r="B5196"/>
    </row>
    <row r="5197" spans="2:2">
      <c r="B5197"/>
    </row>
    <row r="5198" spans="2:2">
      <c r="B5198"/>
    </row>
    <row r="5199" spans="2:2">
      <c r="B5199"/>
    </row>
    <row r="5200" spans="2:2">
      <c r="B5200"/>
    </row>
    <row r="5201" spans="2:2">
      <c r="B5201"/>
    </row>
    <row r="5202" spans="2:2">
      <c r="B5202"/>
    </row>
    <row r="5203" spans="2:2">
      <c r="B5203"/>
    </row>
    <row r="5204" spans="2:2">
      <c r="B5204"/>
    </row>
    <row r="5205" spans="2:2">
      <c r="B5205"/>
    </row>
    <row r="5206" spans="2:2">
      <c r="B5206"/>
    </row>
    <row r="5207" spans="2:2">
      <c r="B5207"/>
    </row>
    <row r="5208" spans="2:2">
      <c r="B5208"/>
    </row>
    <row r="5209" spans="2:2">
      <c r="B5209"/>
    </row>
    <row r="5210" spans="2:2">
      <c r="B5210"/>
    </row>
    <row r="5211" spans="2:2">
      <c r="B5211"/>
    </row>
    <row r="5212" spans="2:2">
      <c r="B5212"/>
    </row>
    <row r="5213" spans="2:2">
      <c r="B5213"/>
    </row>
    <row r="5214" spans="2:2">
      <c r="B5214"/>
    </row>
    <row r="5215" spans="2:2">
      <c r="B5215"/>
    </row>
    <row r="5216" spans="2:2">
      <c r="B5216"/>
    </row>
    <row r="5217" spans="2:2">
      <c r="B5217"/>
    </row>
    <row r="5218" spans="2:2">
      <c r="B5218"/>
    </row>
    <row r="5219" spans="2:2">
      <c r="B5219"/>
    </row>
    <row r="5220" spans="2:2">
      <c r="B5220"/>
    </row>
    <row r="5221" spans="2:2">
      <c r="B5221"/>
    </row>
    <row r="5222" spans="2:2">
      <c r="B5222"/>
    </row>
    <row r="5223" spans="2:2">
      <c r="B5223"/>
    </row>
    <row r="5224" spans="2:2">
      <c r="B5224"/>
    </row>
    <row r="5225" spans="2:2">
      <c r="B5225"/>
    </row>
    <row r="5226" spans="2:2">
      <c r="B5226"/>
    </row>
    <row r="5227" spans="2:2">
      <c r="B5227"/>
    </row>
    <row r="5228" spans="2:2">
      <c r="B5228"/>
    </row>
    <row r="5229" spans="2:2">
      <c r="B5229"/>
    </row>
    <row r="5230" spans="2:2">
      <c r="B5230"/>
    </row>
    <row r="5231" spans="2:2">
      <c r="B5231"/>
    </row>
    <row r="5232" spans="2:2">
      <c r="B5232"/>
    </row>
    <row r="5233" spans="2:2">
      <c r="B5233"/>
    </row>
    <row r="5234" spans="2:2">
      <c r="B5234"/>
    </row>
    <row r="5235" spans="2:2">
      <c r="B5235"/>
    </row>
    <row r="5236" spans="2:2">
      <c r="B5236"/>
    </row>
    <row r="5237" spans="2:2">
      <c r="B5237"/>
    </row>
    <row r="5238" spans="2:2">
      <c r="B5238"/>
    </row>
    <row r="5239" spans="2:2">
      <c r="B5239"/>
    </row>
    <row r="5240" spans="2:2">
      <c r="B5240"/>
    </row>
    <row r="5241" spans="2:2">
      <c r="B5241"/>
    </row>
    <row r="5242" spans="2:2">
      <c r="B5242"/>
    </row>
    <row r="5243" spans="2:2">
      <c r="B5243"/>
    </row>
    <row r="5244" spans="2:2">
      <c r="B5244"/>
    </row>
    <row r="5245" spans="2:2">
      <c r="B5245"/>
    </row>
    <row r="5246" spans="2:2">
      <c r="B5246"/>
    </row>
    <row r="5247" spans="2:2">
      <c r="B5247"/>
    </row>
    <row r="5248" spans="2:2">
      <c r="B5248"/>
    </row>
    <row r="5249" spans="2:2">
      <c r="B5249"/>
    </row>
    <row r="5250" spans="2:2">
      <c r="B5250"/>
    </row>
    <row r="5251" spans="2:2">
      <c r="B5251"/>
    </row>
    <row r="5252" spans="2:2">
      <c r="B5252"/>
    </row>
    <row r="5253" spans="2:2">
      <c r="B5253"/>
    </row>
    <row r="5254" spans="2:2">
      <c r="B5254"/>
    </row>
    <row r="5255" spans="2:2">
      <c r="B5255"/>
    </row>
    <row r="5256" spans="2:2">
      <c r="B5256"/>
    </row>
    <row r="5257" spans="2:2">
      <c r="B5257"/>
    </row>
    <row r="5258" spans="2:2">
      <c r="B5258"/>
    </row>
    <row r="5259" spans="2:2">
      <c r="B5259"/>
    </row>
    <row r="5260" spans="2:2">
      <c r="B5260"/>
    </row>
    <row r="5261" spans="2:2">
      <c r="B5261"/>
    </row>
    <row r="5262" spans="2:2">
      <c r="B5262"/>
    </row>
    <row r="5263" spans="2:2">
      <c r="B5263"/>
    </row>
    <row r="5264" spans="2:2">
      <c r="B5264"/>
    </row>
    <row r="5265" spans="2:2">
      <c r="B5265"/>
    </row>
    <row r="5266" spans="2:2">
      <c r="B5266"/>
    </row>
    <row r="5267" spans="2:2">
      <c r="B5267"/>
    </row>
    <row r="5268" spans="2:2">
      <c r="B5268"/>
    </row>
    <row r="5269" spans="2:2">
      <c r="B5269"/>
    </row>
    <row r="5270" spans="2:2">
      <c r="B5270"/>
    </row>
    <row r="5271" spans="2:2">
      <c r="B5271"/>
    </row>
    <row r="5272" spans="2:2">
      <c r="B5272"/>
    </row>
    <row r="5273" spans="2:2">
      <c r="B5273"/>
    </row>
    <row r="5274" spans="2:2">
      <c r="B5274"/>
    </row>
    <row r="5275" spans="2:2">
      <c r="B5275"/>
    </row>
    <row r="5276" spans="2:2">
      <c r="B5276"/>
    </row>
    <row r="5277" spans="2:2">
      <c r="B5277"/>
    </row>
    <row r="5278" spans="2:2">
      <c r="B5278"/>
    </row>
    <row r="5279" spans="2:2">
      <c r="B5279"/>
    </row>
    <row r="5280" spans="2:2">
      <c r="B5280"/>
    </row>
    <row r="5281" spans="2:2">
      <c r="B5281"/>
    </row>
    <row r="5282" spans="2:2">
      <c r="B5282"/>
    </row>
    <row r="5283" spans="2:2">
      <c r="B5283"/>
    </row>
    <row r="5284" spans="2:2">
      <c r="B5284"/>
    </row>
    <row r="5285" spans="2:2">
      <c r="B5285"/>
    </row>
    <row r="5286" spans="2:2">
      <c r="B5286"/>
    </row>
    <row r="5287" spans="2:2">
      <c r="B5287"/>
    </row>
    <row r="5288" spans="2:2">
      <c r="B5288"/>
    </row>
    <row r="5289" spans="2:2">
      <c r="B5289"/>
    </row>
    <row r="5290" spans="2:2">
      <c r="B5290"/>
    </row>
    <row r="5291" spans="2:2">
      <c r="B5291"/>
    </row>
    <row r="5292" spans="2:2">
      <c r="B5292"/>
    </row>
    <row r="5293" spans="2:2">
      <c r="B5293"/>
    </row>
    <row r="5294" spans="2:2">
      <c r="B5294"/>
    </row>
    <row r="5295" spans="2:2">
      <c r="B5295"/>
    </row>
    <row r="5296" spans="2:2">
      <c r="B5296"/>
    </row>
    <row r="5297" spans="2:2">
      <c r="B5297"/>
    </row>
    <row r="5298" spans="2:2">
      <c r="B5298"/>
    </row>
    <row r="5299" spans="2:2">
      <c r="B5299"/>
    </row>
    <row r="5300" spans="2:2">
      <c r="B5300"/>
    </row>
    <row r="5301" spans="2:2">
      <c r="B5301"/>
    </row>
    <row r="5302" spans="2:2">
      <c r="B5302"/>
    </row>
    <row r="5303" spans="2:2">
      <c r="B5303"/>
    </row>
    <row r="5304" spans="2:2">
      <c r="B5304"/>
    </row>
    <row r="5305" spans="2:2">
      <c r="B5305"/>
    </row>
    <row r="5306" spans="2:2">
      <c r="B5306"/>
    </row>
    <row r="5307" spans="2:2">
      <c r="B5307"/>
    </row>
    <row r="5308" spans="2:2">
      <c r="B5308"/>
    </row>
    <row r="5309" spans="2:2">
      <c r="B5309"/>
    </row>
    <row r="5310" spans="2:2">
      <c r="B5310"/>
    </row>
    <row r="5311" spans="2:2">
      <c r="B5311"/>
    </row>
    <row r="5312" spans="2:2">
      <c r="B5312"/>
    </row>
    <row r="5313" spans="2:2">
      <c r="B5313"/>
    </row>
    <row r="5314" spans="2:2">
      <c r="B5314"/>
    </row>
    <row r="5315" spans="2:2">
      <c r="B5315"/>
    </row>
    <row r="5316" spans="2:2">
      <c r="B5316"/>
    </row>
    <row r="5317" spans="2:2">
      <c r="B5317"/>
    </row>
    <row r="5318" spans="2:2">
      <c r="B5318"/>
    </row>
    <row r="5319" spans="2:2">
      <c r="B5319"/>
    </row>
    <row r="5320" spans="2:2">
      <c r="B5320"/>
    </row>
    <row r="5321" spans="2:2">
      <c r="B5321"/>
    </row>
    <row r="5322" spans="2:2">
      <c r="B5322"/>
    </row>
    <row r="5323" spans="2:2">
      <c r="B5323"/>
    </row>
    <row r="5324" spans="2:2">
      <c r="B5324"/>
    </row>
    <row r="5325" spans="2:2">
      <c r="B5325"/>
    </row>
    <row r="5326" spans="2:2">
      <c r="B5326"/>
    </row>
    <row r="5327" spans="2:2">
      <c r="B5327"/>
    </row>
    <row r="5328" spans="2:2">
      <c r="B5328"/>
    </row>
    <row r="5329" spans="2:2">
      <c r="B5329"/>
    </row>
    <row r="5330" spans="2:2">
      <c r="B5330"/>
    </row>
    <row r="5331" spans="2:2">
      <c r="B5331"/>
    </row>
    <row r="5332" spans="2:2">
      <c r="B5332"/>
    </row>
    <row r="5333" spans="2:2">
      <c r="B5333"/>
    </row>
    <row r="5334" spans="2:2">
      <c r="B5334"/>
    </row>
    <row r="5335" spans="2:2">
      <c r="B5335"/>
    </row>
    <row r="5336" spans="2:2">
      <c r="B5336"/>
    </row>
    <row r="5337" spans="2:2">
      <c r="B5337"/>
    </row>
    <row r="5338" spans="2:2">
      <c r="B5338"/>
    </row>
    <row r="5339" spans="2:2">
      <c r="B5339"/>
    </row>
    <row r="5340" spans="2:2">
      <c r="B5340"/>
    </row>
    <row r="5341" spans="2:2">
      <c r="B5341"/>
    </row>
    <row r="5342" spans="2:2">
      <c r="B5342"/>
    </row>
    <row r="5343" spans="2:2">
      <c r="B5343"/>
    </row>
    <row r="5344" spans="2:2">
      <c r="B5344"/>
    </row>
    <row r="5345" spans="2:2">
      <c r="B5345"/>
    </row>
    <row r="5346" spans="2:2">
      <c r="B5346"/>
    </row>
    <row r="5347" spans="2:2">
      <c r="B5347"/>
    </row>
    <row r="5348" spans="2:2">
      <c r="B5348"/>
    </row>
    <row r="5349" spans="2:2">
      <c r="B5349"/>
    </row>
    <row r="5350" spans="2:2">
      <c r="B5350"/>
    </row>
    <row r="5351" spans="2:2">
      <c r="B5351"/>
    </row>
    <row r="5352" spans="2:2">
      <c r="B5352"/>
    </row>
    <row r="5353" spans="2:2">
      <c r="B5353"/>
    </row>
    <row r="5354" spans="2:2">
      <c r="B5354"/>
    </row>
    <row r="5355" spans="2:2">
      <c r="B5355"/>
    </row>
    <row r="5356" spans="2:2">
      <c r="B5356"/>
    </row>
    <row r="5357" spans="2:2">
      <c r="B5357"/>
    </row>
    <row r="5358" spans="2:2">
      <c r="B5358"/>
    </row>
    <row r="5359" spans="2:2">
      <c r="B5359"/>
    </row>
    <row r="5360" spans="2:2">
      <c r="B5360"/>
    </row>
    <row r="5361" spans="2:2">
      <c r="B5361"/>
    </row>
    <row r="5362" spans="2:2">
      <c r="B5362"/>
    </row>
    <row r="5363" spans="2:2">
      <c r="B5363"/>
    </row>
    <row r="5364" spans="2:2">
      <c r="B5364"/>
    </row>
    <row r="5365" spans="2:2">
      <c r="B5365"/>
    </row>
    <row r="5366" spans="2:2">
      <c r="B5366"/>
    </row>
    <row r="5367" spans="2:2">
      <c r="B5367"/>
    </row>
    <row r="5368" spans="2:2">
      <c r="B5368"/>
    </row>
    <row r="5369" spans="2:2">
      <c r="B5369"/>
    </row>
    <row r="5370" spans="2:2">
      <c r="B5370"/>
    </row>
    <row r="5371" spans="2:2">
      <c r="B5371"/>
    </row>
    <row r="5372" spans="2:2">
      <c r="B5372"/>
    </row>
    <row r="5373" spans="2:2">
      <c r="B5373"/>
    </row>
    <row r="5374" spans="2:2">
      <c r="B5374"/>
    </row>
    <row r="5375" spans="2:2">
      <c r="B5375"/>
    </row>
    <row r="5376" spans="2:2">
      <c r="B5376"/>
    </row>
    <row r="5377" spans="2:2">
      <c r="B5377"/>
    </row>
    <row r="5378" spans="2:2">
      <c r="B5378"/>
    </row>
    <row r="5379" spans="2:2">
      <c r="B5379"/>
    </row>
    <row r="5380" spans="2:2">
      <c r="B5380"/>
    </row>
    <row r="5381" spans="2:2">
      <c r="B5381"/>
    </row>
    <row r="5382" spans="2:2">
      <c r="B5382"/>
    </row>
    <row r="5383" spans="2:2">
      <c r="B5383"/>
    </row>
    <row r="5384" spans="2:2">
      <c r="B5384"/>
    </row>
    <row r="5385" spans="2:2">
      <c r="B5385"/>
    </row>
    <row r="5386" spans="2:2">
      <c r="B5386"/>
    </row>
    <row r="5387" spans="2:2">
      <c r="B5387"/>
    </row>
    <row r="5388" spans="2:2">
      <c r="B5388"/>
    </row>
    <row r="5389" spans="2:2">
      <c r="B5389"/>
    </row>
    <row r="5390" spans="2:2">
      <c r="B5390"/>
    </row>
    <row r="5391" spans="2:2">
      <c r="B5391"/>
    </row>
    <row r="5392" spans="2:2">
      <c r="B5392"/>
    </row>
    <row r="5393" spans="2:2">
      <c r="B5393"/>
    </row>
    <row r="5394" spans="2:2">
      <c r="B5394"/>
    </row>
    <row r="5395" spans="2:2">
      <c r="B5395"/>
    </row>
    <row r="5396" spans="2:2">
      <c r="B5396"/>
    </row>
    <row r="5397" spans="2:2">
      <c r="B5397"/>
    </row>
    <row r="5398" spans="2:2">
      <c r="B5398"/>
    </row>
    <row r="5399" spans="2:2">
      <c r="B5399"/>
    </row>
    <row r="5400" spans="2:2">
      <c r="B5400"/>
    </row>
    <row r="5401" spans="2:2">
      <c r="B5401"/>
    </row>
    <row r="5402" spans="2:2">
      <c r="B5402"/>
    </row>
    <row r="5403" spans="2:2">
      <c r="B5403"/>
    </row>
    <row r="5404" spans="2:2">
      <c r="B5404"/>
    </row>
    <row r="5405" spans="2:2">
      <c r="B5405"/>
    </row>
    <row r="5406" spans="2:2">
      <c r="B5406"/>
    </row>
    <row r="5407" spans="2:2">
      <c r="B5407"/>
    </row>
    <row r="5408" spans="2:2">
      <c r="B5408"/>
    </row>
    <row r="5409" spans="2:2">
      <c r="B5409"/>
    </row>
    <row r="5410" spans="2:2">
      <c r="B5410"/>
    </row>
    <row r="5411" spans="2:2">
      <c r="B5411"/>
    </row>
    <row r="5412" spans="2:2">
      <c r="B5412"/>
    </row>
    <row r="5413" spans="2:2">
      <c r="B5413"/>
    </row>
    <row r="5414" spans="2:2">
      <c r="B5414"/>
    </row>
    <row r="5415" spans="2:2">
      <c r="B5415"/>
    </row>
    <row r="5416" spans="2:2">
      <c r="B5416"/>
    </row>
    <row r="5417" spans="2:2">
      <c r="B5417"/>
    </row>
    <row r="5418" spans="2:2">
      <c r="B5418"/>
    </row>
    <row r="5419" spans="2:2">
      <c r="B5419"/>
    </row>
    <row r="5420" spans="2:2">
      <c r="B5420"/>
    </row>
    <row r="5421" spans="2:2">
      <c r="B5421"/>
    </row>
    <row r="5422" spans="2:2">
      <c r="B5422"/>
    </row>
    <row r="5423" spans="2:2">
      <c r="B5423"/>
    </row>
    <row r="5424" spans="2:2">
      <c r="B5424"/>
    </row>
    <row r="5425" spans="2:2">
      <c r="B5425"/>
    </row>
    <row r="5426" spans="2:2">
      <c r="B5426"/>
    </row>
    <row r="5427" spans="2:2">
      <c r="B5427"/>
    </row>
    <row r="5428" spans="2:2">
      <c r="B5428"/>
    </row>
    <row r="5429" spans="2:2">
      <c r="B5429"/>
    </row>
    <row r="5430" spans="2:2">
      <c r="B5430"/>
    </row>
    <row r="5431" spans="2:2">
      <c r="B5431"/>
    </row>
    <row r="5432" spans="2:2">
      <c r="B5432"/>
    </row>
    <row r="5433" spans="2:2">
      <c r="B5433"/>
    </row>
    <row r="5434" spans="2:2">
      <c r="B5434"/>
    </row>
    <row r="5435" spans="2:2">
      <c r="B5435"/>
    </row>
    <row r="5436" spans="2:2">
      <c r="B5436"/>
    </row>
    <row r="5437" spans="2:2">
      <c r="B5437"/>
    </row>
    <row r="5438" spans="2:2">
      <c r="B5438"/>
    </row>
    <row r="5439" spans="2:2">
      <c r="B5439"/>
    </row>
    <row r="5440" spans="2:2">
      <c r="B5440"/>
    </row>
    <row r="5441" spans="2:2">
      <c r="B5441"/>
    </row>
    <row r="5442" spans="2:2">
      <c r="B5442"/>
    </row>
    <row r="5443" spans="2:2">
      <c r="B5443"/>
    </row>
    <row r="5444" spans="2:2">
      <c r="B5444"/>
    </row>
    <row r="5445" spans="2:2">
      <c r="B5445"/>
    </row>
    <row r="5446" spans="2:2">
      <c r="B5446"/>
    </row>
    <row r="5447" spans="2:2">
      <c r="B5447"/>
    </row>
    <row r="5448" spans="2:2">
      <c r="B5448"/>
    </row>
    <row r="5449" spans="2:2">
      <c r="B5449"/>
    </row>
    <row r="5450" spans="2:2">
      <c r="B5450"/>
    </row>
    <row r="5451" spans="2:2">
      <c r="B5451"/>
    </row>
    <row r="5452" spans="2:2">
      <c r="B5452"/>
    </row>
    <row r="5453" spans="2:2">
      <c r="B5453"/>
    </row>
    <row r="5454" spans="2:2">
      <c r="B5454"/>
    </row>
    <row r="5455" spans="2:2">
      <c r="B5455"/>
    </row>
    <row r="5456" spans="2:2">
      <c r="B5456"/>
    </row>
    <row r="5457" spans="2:2">
      <c r="B5457"/>
    </row>
    <row r="5458" spans="2:2">
      <c r="B5458"/>
    </row>
    <row r="5459" spans="2:2">
      <c r="B5459"/>
    </row>
    <row r="5460" spans="2:2">
      <c r="B5460"/>
    </row>
    <row r="5461" spans="2:2">
      <c r="B5461"/>
    </row>
    <row r="5462" spans="2:2">
      <c r="B5462"/>
    </row>
    <row r="5463" spans="2:2">
      <c r="B5463"/>
    </row>
    <row r="5464" spans="2:2">
      <c r="B5464"/>
    </row>
    <row r="5465" spans="2:2">
      <c r="B5465"/>
    </row>
    <row r="5466" spans="2:2">
      <c r="B5466"/>
    </row>
    <row r="5467" spans="2:2">
      <c r="B5467"/>
    </row>
    <row r="5468" spans="2:2">
      <c r="B5468"/>
    </row>
    <row r="5469" spans="2:2">
      <c r="B5469"/>
    </row>
    <row r="5470" spans="2:2">
      <c r="B5470"/>
    </row>
    <row r="5471" spans="2:2">
      <c r="B5471"/>
    </row>
    <row r="5472" spans="2:2">
      <c r="B5472"/>
    </row>
    <row r="5473" spans="2:2">
      <c r="B5473"/>
    </row>
    <row r="5474" spans="2:2">
      <c r="B5474"/>
    </row>
    <row r="5475" spans="2:2">
      <c r="B5475"/>
    </row>
    <row r="5476" spans="2:2">
      <c r="B5476"/>
    </row>
    <row r="5477" spans="2:2">
      <c r="B5477"/>
    </row>
    <row r="5478" spans="2:2">
      <c r="B5478"/>
    </row>
    <row r="5479" spans="2:2">
      <c r="B5479"/>
    </row>
    <row r="5480" spans="2:2">
      <c r="B5480"/>
    </row>
    <row r="5481" spans="2:2">
      <c r="B5481"/>
    </row>
    <row r="5482" spans="2:2">
      <c r="B5482"/>
    </row>
    <row r="5483" spans="2:2">
      <c r="B5483"/>
    </row>
    <row r="5484" spans="2:2">
      <c r="B5484"/>
    </row>
    <row r="5485" spans="2:2">
      <c r="B5485"/>
    </row>
    <row r="5486" spans="2:2">
      <c r="B5486"/>
    </row>
    <row r="5487" spans="2:2">
      <c r="B5487"/>
    </row>
    <row r="5488" spans="2:2">
      <c r="B5488"/>
    </row>
    <row r="5489" spans="2:2">
      <c r="B5489"/>
    </row>
    <row r="5490" spans="2:2">
      <c r="B5490"/>
    </row>
    <row r="5491" spans="2:2">
      <c r="B5491"/>
    </row>
    <row r="5492" spans="2:2">
      <c r="B5492"/>
    </row>
    <row r="5493" spans="2:2">
      <c r="B5493"/>
    </row>
    <row r="5494" spans="2:2">
      <c r="B5494"/>
    </row>
    <row r="5495" spans="2:2">
      <c r="B5495"/>
    </row>
    <row r="5496" spans="2:2">
      <c r="B5496"/>
    </row>
    <row r="5497" spans="2:2">
      <c r="B5497"/>
    </row>
    <row r="5498" spans="2:2">
      <c r="B5498"/>
    </row>
    <row r="5499" spans="2:2">
      <c r="B5499"/>
    </row>
    <row r="5500" spans="2:2">
      <c r="B5500"/>
    </row>
    <row r="5501" spans="2:2">
      <c r="B5501"/>
    </row>
    <row r="5502" spans="2:2">
      <c r="B5502"/>
    </row>
    <row r="5503" spans="2:2">
      <c r="B5503"/>
    </row>
    <row r="5504" spans="2:2">
      <c r="B5504"/>
    </row>
    <row r="5505" spans="2:2">
      <c r="B5505"/>
    </row>
    <row r="5506" spans="2:2">
      <c r="B5506"/>
    </row>
    <row r="5507" spans="2:2">
      <c r="B5507"/>
    </row>
    <row r="5508" spans="2:2">
      <c r="B5508"/>
    </row>
    <row r="5509" spans="2:2">
      <c r="B5509"/>
    </row>
    <row r="5510" spans="2:2">
      <c r="B5510"/>
    </row>
    <row r="5511" spans="2:2">
      <c r="B5511"/>
    </row>
    <row r="5512" spans="2:2">
      <c r="B5512"/>
    </row>
    <row r="5513" spans="2:2">
      <c r="B5513"/>
    </row>
    <row r="5514" spans="2:2">
      <c r="B5514"/>
    </row>
    <row r="5515" spans="2:2">
      <c r="B5515"/>
    </row>
    <row r="5516" spans="2:2">
      <c r="B5516"/>
    </row>
    <row r="5517" spans="2:2">
      <c r="B5517"/>
    </row>
    <row r="5518" spans="2:2">
      <c r="B5518"/>
    </row>
    <row r="5519" spans="2:2">
      <c r="B5519"/>
    </row>
    <row r="5520" spans="2:2">
      <c r="B5520"/>
    </row>
    <row r="5521" spans="2:2">
      <c r="B5521"/>
    </row>
    <row r="5522" spans="2:2">
      <c r="B5522"/>
    </row>
    <row r="5523" spans="2:2">
      <c r="B5523"/>
    </row>
    <row r="5524" spans="2:2">
      <c r="B5524"/>
    </row>
    <row r="5525" spans="2:2">
      <c r="B5525"/>
    </row>
    <row r="5526" spans="2:2">
      <c r="B5526"/>
    </row>
    <row r="5527" spans="2:2">
      <c r="B5527"/>
    </row>
    <row r="5528" spans="2:2">
      <c r="B5528"/>
    </row>
    <row r="5529" spans="2:2">
      <c r="B5529"/>
    </row>
    <row r="5530" spans="2:2">
      <c r="B5530"/>
    </row>
    <row r="5531" spans="2:2">
      <c r="B5531"/>
    </row>
    <row r="5532" spans="2:2">
      <c r="B5532"/>
    </row>
    <row r="5533" spans="2:2">
      <c r="B5533"/>
    </row>
    <row r="5534" spans="2:2">
      <c r="B5534"/>
    </row>
    <row r="5535" spans="2:2">
      <c r="B5535"/>
    </row>
    <row r="5536" spans="2:2">
      <c r="B5536"/>
    </row>
    <row r="5537" spans="2:2">
      <c r="B5537"/>
    </row>
    <row r="5538" spans="2:2">
      <c r="B5538"/>
    </row>
    <row r="5539" spans="2:2">
      <c r="B5539"/>
    </row>
    <row r="5540" spans="2:2">
      <c r="B5540"/>
    </row>
    <row r="5541" spans="2:2">
      <c r="B5541"/>
    </row>
    <row r="5542" spans="2:2">
      <c r="B5542"/>
    </row>
    <row r="5543" spans="2:2">
      <c r="B5543"/>
    </row>
    <row r="5544" spans="2:2">
      <c r="B5544"/>
    </row>
    <row r="5545" spans="2:2">
      <c r="B5545"/>
    </row>
    <row r="5546" spans="2:2">
      <c r="B5546"/>
    </row>
    <row r="5547" spans="2:2">
      <c r="B5547"/>
    </row>
    <row r="5548" spans="2:2">
      <c r="B5548"/>
    </row>
    <row r="5549" spans="2:2">
      <c r="B5549"/>
    </row>
    <row r="5550" spans="2:2">
      <c r="B5550"/>
    </row>
    <row r="5551" spans="2:2">
      <c r="B5551"/>
    </row>
    <row r="5552" spans="2:2">
      <c r="B5552"/>
    </row>
    <row r="5553" spans="2:2">
      <c r="B5553"/>
    </row>
    <row r="5554" spans="2:2">
      <c r="B5554"/>
    </row>
    <row r="5555" spans="2:2">
      <c r="B5555"/>
    </row>
    <row r="5556" spans="2:2">
      <c r="B5556"/>
    </row>
    <row r="5557" spans="2:2">
      <c r="B5557"/>
    </row>
    <row r="5558" spans="2:2">
      <c r="B5558"/>
    </row>
    <row r="5559" spans="2:2">
      <c r="B5559"/>
    </row>
    <row r="5560" spans="2:2">
      <c r="B5560"/>
    </row>
    <row r="5561" spans="2:2">
      <c r="B5561"/>
    </row>
    <row r="5562" spans="2:2">
      <c r="B5562"/>
    </row>
    <row r="5563" spans="2:2">
      <c r="B5563"/>
    </row>
    <row r="5564" spans="2:2">
      <c r="B5564"/>
    </row>
    <row r="5565" spans="2:2">
      <c r="B5565"/>
    </row>
    <row r="5566" spans="2:2">
      <c r="B5566"/>
    </row>
    <row r="5567" spans="2:2">
      <c r="B5567"/>
    </row>
    <row r="5568" spans="2:2">
      <c r="B5568"/>
    </row>
    <row r="5569" spans="2:2">
      <c r="B5569"/>
    </row>
    <row r="5570" spans="2:2">
      <c r="B5570"/>
    </row>
    <row r="5571" spans="2:2">
      <c r="B5571"/>
    </row>
    <row r="5572" spans="2:2">
      <c r="B5572"/>
    </row>
    <row r="5573" spans="2:2">
      <c r="B5573"/>
    </row>
    <row r="5574" spans="2:2">
      <c r="B5574"/>
    </row>
    <row r="5575" spans="2:2">
      <c r="B5575"/>
    </row>
    <row r="5576" spans="2:2">
      <c r="B5576"/>
    </row>
    <row r="5577" spans="2:2">
      <c r="B5577"/>
    </row>
    <row r="5578" spans="2:2">
      <c r="B5578"/>
    </row>
    <row r="5579" spans="2:2">
      <c r="B5579"/>
    </row>
    <row r="5580" spans="2:2">
      <c r="B5580"/>
    </row>
    <row r="5581" spans="2:2">
      <c r="B5581"/>
    </row>
    <row r="5582" spans="2:2">
      <c r="B5582"/>
    </row>
    <row r="5583" spans="2:2">
      <c r="B5583"/>
    </row>
    <row r="5584" spans="2:2">
      <c r="B5584"/>
    </row>
    <row r="5585" spans="2:2">
      <c r="B5585"/>
    </row>
    <row r="5586" spans="2:2">
      <c r="B5586"/>
    </row>
    <row r="5587" spans="2:2">
      <c r="B5587"/>
    </row>
    <row r="5588" spans="2:2">
      <c r="B5588"/>
    </row>
    <row r="5589" spans="2:2">
      <c r="B5589"/>
    </row>
    <row r="5590" spans="2:2">
      <c r="B5590"/>
    </row>
    <row r="5591" spans="2:2">
      <c r="B5591"/>
    </row>
    <row r="5592" spans="2:2">
      <c r="B5592"/>
    </row>
    <row r="5593" spans="2:2">
      <c r="B5593"/>
    </row>
    <row r="5594" spans="2:2">
      <c r="B5594"/>
    </row>
    <row r="5595" spans="2:2">
      <c r="B5595"/>
    </row>
    <row r="5596" spans="2:2">
      <c r="B5596"/>
    </row>
    <row r="5597" spans="2:2">
      <c r="B5597"/>
    </row>
    <row r="5598" spans="2:2">
      <c r="B5598"/>
    </row>
    <row r="5599" spans="2:2">
      <c r="B5599"/>
    </row>
    <row r="5600" spans="2:2">
      <c r="B5600"/>
    </row>
    <row r="5601" spans="2:2">
      <c r="B5601"/>
    </row>
    <row r="5602" spans="2:2">
      <c r="B5602"/>
    </row>
    <row r="5603" spans="2:2">
      <c r="B5603"/>
    </row>
    <row r="5604" spans="2:2">
      <c r="B5604"/>
    </row>
    <row r="5605" spans="2:2">
      <c r="B5605"/>
    </row>
    <row r="5606" spans="2:2">
      <c r="B5606"/>
    </row>
    <row r="5607" spans="2:2">
      <c r="B5607"/>
    </row>
    <row r="5608" spans="2:2">
      <c r="B5608"/>
    </row>
    <row r="5609" spans="2:2">
      <c r="B5609"/>
    </row>
    <row r="5610" spans="2:2">
      <c r="B5610"/>
    </row>
    <row r="5611" spans="2:2">
      <c r="B5611"/>
    </row>
    <row r="5612" spans="2:2">
      <c r="B5612"/>
    </row>
    <row r="5613" spans="2:2">
      <c r="B5613"/>
    </row>
    <row r="5614" spans="2:2">
      <c r="B5614"/>
    </row>
    <row r="5615" spans="2:2">
      <c r="B5615"/>
    </row>
    <row r="5616" spans="2:2">
      <c r="B5616"/>
    </row>
    <row r="5617" spans="2:2">
      <c r="B5617"/>
    </row>
    <row r="5618" spans="2:2">
      <c r="B5618"/>
    </row>
    <row r="5619" spans="2:2">
      <c r="B5619"/>
    </row>
    <row r="5620" spans="2:2">
      <c r="B5620"/>
    </row>
    <row r="5621" spans="2:2">
      <c r="B5621"/>
    </row>
    <row r="5622" spans="2:2">
      <c r="B5622"/>
    </row>
    <row r="5623" spans="2:2">
      <c r="B5623"/>
    </row>
    <row r="5624" spans="2:2">
      <c r="B5624"/>
    </row>
    <row r="5625" spans="2:2">
      <c r="B5625"/>
    </row>
    <row r="5626" spans="2:2">
      <c r="B5626"/>
    </row>
    <row r="5627" spans="2:2">
      <c r="B5627"/>
    </row>
    <row r="5628" spans="2:2">
      <c r="B5628"/>
    </row>
    <row r="5629" spans="2:2">
      <c r="B5629"/>
    </row>
    <row r="5630" spans="2:2">
      <c r="B5630"/>
    </row>
    <row r="5631" spans="2:2">
      <c r="B5631"/>
    </row>
    <row r="5632" spans="2:2">
      <c r="B5632"/>
    </row>
    <row r="5633" spans="2:2">
      <c r="B5633"/>
    </row>
    <row r="5634" spans="2:2">
      <c r="B5634"/>
    </row>
    <row r="5635" spans="2:2">
      <c r="B5635"/>
    </row>
    <row r="5636" spans="2:2">
      <c r="B5636"/>
    </row>
    <row r="5637" spans="2:2">
      <c r="B5637"/>
    </row>
    <row r="5638" spans="2:2">
      <c r="B5638"/>
    </row>
    <row r="5639" spans="2:2">
      <c r="B5639"/>
    </row>
    <row r="5640" spans="2:2">
      <c r="B5640"/>
    </row>
    <row r="5641" spans="2:2">
      <c r="B5641"/>
    </row>
    <row r="5642" spans="2:2">
      <c r="B5642"/>
    </row>
    <row r="5643" spans="2:2">
      <c r="B5643"/>
    </row>
    <row r="5644" spans="2:2">
      <c r="B5644"/>
    </row>
    <row r="5645" spans="2:2">
      <c r="B5645"/>
    </row>
    <row r="5646" spans="2:2">
      <c r="B5646"/>
    </row>
    <row r="5647" spans="2:2">
      <c r="B5647"/>
    </row>
    <row r="5648" spans="2:2">
      <c r="B5648"/>
    </row>
    <row r="5649" spans="2:2">
      <c r="B5649"/>
    </row>
    <row r="5650" spans="2:2">
      <c r="B5650"/>
    </row>
    <row r="5651" spans="2:2">
      <c r="B5651"/>
    </row>
    <row r="5652" spans="2:2">
      <c r="B5652"/>
    </row>
    <row r="5653" spans="2:2">
      <c r="B5653"/>
    </row>
    <row r="5654" spans="2:2">
      <c r="B5654"/>
    </row>
    <row r="5655" spans="2:2">
      <c r="B5655"/>
    </row>
    <row r="5656" spans="2:2">
      <c r="B5656"/>
    </row>
    <row r="5657" spans="2:2">
      <c r="B5657"/>
    </row>
    <row r="5658" spans="2:2">
      <c r="B5658"/>
    </row>
    <row r="5659" spans="2:2">
      <c r="B5659"/>
    </row>
    <row r="5660" spans="2:2">
      <c r="B5660"/>
    </row>
    <row r="5661" spans="2:2">
      <c r="B5661"/>
    </row>
    <row r="5662" spans="2:2">
      <c r="B5662"/>
    </row>
    <row r="5663" spans="2:2">
      <c r="B5663"/>
    </row>
    <row r="5664" spans="2:2">
      <c r="B5664"/>
    </row>
    <row r="5665" spans="2:2">
      <c r="B5665"/>
    </row>
    <row r="5666" spans="2:2">
      <c r="B5666"/>
    </row>
    <row r="5667" spans="2:2">
      <c r="B5667"/>
    </row>
    <row r="5668" spans="2:2">
      <c r="B5668"/>
    </row>
    <row r="5669" spans="2:2">
      <c r="B5669"/>
    </row>
    <row r="5670" spans="2:2">
      <c r="B5670"/>
    </row>
    <row r="5671" spans="2:2">
      <c r="B5671"/>
    </row>
    <row r="5672" spans="2:2">
      <c r="B5672"/>
    </row>
    <row r="5673" spans="2:2">
      <c r="B5673"/>
    </row>
    <row r="5674" spans="2:2">
      <c r="B5674"/>
    </row>
    <row r="5675" spans="2:2">
      <c r="B5675"/>
    </row>
    <row r="5676" spans="2:2">
      <c r="B5676"/>
    </row>
    <row r="5677" spans="2:2">
      <c r="B5677"/>
    </row>
    <row r="5678" spans="2:2">
      <c r="B5678"/>
    </row>
    <row r="5679" spans="2:2">
      <c r="B5679"/>
    </row>
    <row r="5680" spans="2:2">
      <c r="B5680"/>
    </row>
    <row r="5681" spans="2:2">
      <c r="B5681"/>
    </row>
    <row r="5682" spans="2:2">
      <c r="B5682"/>
    </row>
    <row r="5683" spans="2:2">
      <c r="B5683"/>
    </row>
    <row r="5684" spans="2:2">
      <c r="B5684"/>
    </row>
    <row r="5685" spans="2:2">
      <c r="B5685"/>
    </row>
    <row r="5686" spans="2:2">
      <c r="B5686"/>
    </row>
    <row r="5687" spans="2:2">
      <c r="B5687"/>
    </row>
    <row r="5688" spans="2:2">
      <c r="B5688"/>
    </row>
    <row r="5689" spans="2:2">
      <c r="B5689"/>
    </row>
    <row r="5690" spans="2:2">
      <c r="B5690"/>
    </row>
    <row r="5691" spans="2:2">
      <c r="B5691"/>
    </row>
    <row r="5692" spans="2:2">
      <c r="B5692"/>
    </row>
    <row r="5693" spans="2:2">
      <c r="B5693"/>
    </row>
    <row r="5694" spans="2:2">
      <c r="B5694"/>
    </row>
    <row r="5695" spans="2:2">
      <c r="B5695"/>
    </row>
    <row r="5696" spans="2:2">
      <c r="B5696"/>
    </row>
    <row r="5697" spans="2:2">
      <c r="B5697"/>
    </row>
    <row r="5698" spans="2:2">
      <c r="B5698"/>
    </row>
    <row r="5699" spans="2:2">
      <c r="B5699"/>
    </row>
    <row r="5700" spans="2:2">
      <c r="B5700"/>
    </row>
    <row r="5701" spans="2:2">
      <c r="B5701"/>
    </row>
    <row r="5702" spans="2:2">
      <c r="B5702"/>
    </row>
    <row r="5703" spans="2:2">
      <c r="B5703"/>
    </row>
    <row r="5704" spans="2:2">
      <c r="B5704"/>
    </row>
    <row r="5705" spans="2:2">
      <c r="B5705"/>
    </row>
    <row r="5706" spans="2:2">
      <c r="B5706"/>
    </row>
    <row r="5707" spans="2:2">
      <c r="B5707"/>
    </row>
    <row r="5708" spans="2:2">
      <c r="B5708"/>
    </row>
    <row r="5709" spans="2:2">
      <c r="B5709"/>
    </row>
    <row r="5710" spans="2:2">
      <c r="B5710"/>
    </row>
    <row r="5711" spans="2:2">
      <c r="B5711"/>
    </row>
    <row r="5712" spans="2:2">
      <c r="B5712"/>
    </row>
    <row r="5713" spans="2:2">
      <c r="B5713"/>
    </row>
    <row r="5714" spans="2:2">
      <c r="B5714"/>
    </row>
    <row r="5715" spans="2:2">
      <c r="B5715"/>
    </row>
    <row r="5716" spans="2:2">
      <c r="B5716"/>
    </row>
    <row r="5717" spans="2:2">
      <c r="B5717"/>
    </row>
    <row r="5718" spans="2:2">
      <c r="B5718"/>
    </row>
    <row r="5719" spans="2:2">
      <c r="B5719"/>
    </row>
    <row r="5720" spans="2:2">
      <c r="B5720"/>
    </row>
    <row r="5721" spans="2:2">
      <c r="B5721"/>
    </row>
    <row r="5722" spans="2:2">
      <c r="B5722"/>
    </row>
    <row r="5723" spans="2:2">
      <c r="B5723"/>
    </row>
    <row r="5724" spans="2:2">
      <c r="B5724"/>
    </row>
    <row r="5725" spans="2:2">
      <c r="B5725"/>
    </row>
    <row r="5726" spans="2:2">
      <c r="B5726"/>
    </row>
    <row r="5727" spans="2:2">
      <c r="B5727"/>
    </row>
    <row r="5728" spans="2:2">
      <c r="B5728"/>
    </row>
    <row r="5729" spans="2:2">
      <c r="B5729"/>
    </row>
    <row r="5730" spans="2:2">
      <c r="B5730"/>
    </row>
    <row r="5731" spans="2:2">
      <c r="B5731"/>
    </row>
    <row r="5732" spans="2:2">
      <c r="B5732"/>
    </row>
    <row r="5733" spans="2:2">
      <c r="B5733"/>
    </row>
    <row r="5734" spans="2:2">
      <c r="B5734"/>
    </row>
    <row r="5735" spans="2:2">
      <c r="B5735"/>
    </row>
    <row r="5736" spans="2:2">
      <c r="B5736"/>
    </row>
    <row r="5737" spans="2:2">
      <c r="B5737"/>
    </row>
    <row r="5738" spans="2:2">
      <c r="B5738"/>
    </row>
    <row r="5739" spans="2:2">
      <c r="B5739"/>
    </row>
    <row r="5740" spans="2:2">
      <c r="B5740"/>
    </row>
    <row r="5741" spans="2:2">
      <c r="B5741"/>
    </row>
    <row r="5742" spans="2:2">
      <c r="B5742"/>
    </row>
    <row r="5743" spans="2:2">
      <c r="B5743"/>
    </row>
    <row r="5744" spans="2:2">
      <c r="B5744"/>
    </row>
    <row r="5745" spans="2:2">
      <c r="B5745"/>
    </row>
    <row r="5746" spans="2:2">
      <c r="B5746"/>
    </row>
    <row r="5747" spans="2:2">
      <c r="B5747"/>
    </row>
    <row r="5748" spans="2:2">
      <c r="B5748"/>
    </row>
    <row r="5749" spans="2:2">
      <c r="B5749"/>
    </row>
    <row r="5750" spans="2:2">
      <c r="B5750"/>
    </row>
    <row r="5751" spans="2:2">
      <c r="B5751"/>
    </row>
    <row r="5752" spans="2:2">
      <c r="B5752"/>
    </row>
    <row r="5753" spans="2:2">
      <c r="B5753"/>
    </row>
    <row r="5754" spans="2:2">
      <c r="B5754"/>
    </row>
    <row r="5755" spans="2:2">
      <c r="B5755"/>
    </row>
    <row r="5756" spans="2:2">
      <c r="B5756"/>
    </row>
    <row r="5757" spans="2:2">
      <c r="B5757"/>
    </row>
    <row r="5758" spans="2:2">
      <c r="B5758"/>
    </row>
    <row r="5759" spans="2:2">
      <c r="B5759"/>
    </row>
    <row r="5760" spans="2:2">
      <c r="B5760"/>
    </row>
    <row r="5761" spans="2:2">
      <c r="B5761"/>
    </row>
    <row r="5762" spans="2:2">
      <c r="B5762"/>
    </row>
    <row r="5763" spans="2:2">
      <c r="B5763"/>
    </row>
    <row r="5764" spans="2:2">
      <c r="B5764"/>
    </row>
    <row r="5765" spans="2:2">
      <c r="B5765"/>
    </row>
    <row r="5766" spans="2:2">
      <c r="B5766"/>
    </row>
    <row r="5767" spans="2:2">
      <c r="B5767"/>
    </row>
    <row r="5768" spans="2:2">
      <c r="B5768"/>
    </row>
    <row r="5769" spans="2:2">
      <c r="B5769"/>
    </row>
    <row r="5770" spans="2:2">
      <c r="B5770"/>
    </row>
    <row r="5771" spans="2:2">
      <c r="B5771"/>
    </row>
    <row r="5772" spans="2:2">
      <c r="B5772"/>
    </row>
    <row r="5773" spans="2:2">
      <c r="B5773"/>
    </row>
    <row r="5774" spans="2:2">
      <c r="B5774"/>
    </row>
    <row r="5775" spans="2:2">
      <c r="B5775"/>
    </row>
    <row r="5776" spans="2:2">
      <c r="B5776"/>
    </row>
    <row r="5777" spans="2:2">
      <c r="B5777"/>
    </row>
    <row r="5778" spans="2:2">
      <c r="B5778"/>
    </row>
    <row r="5779" spans="2:2">
      <c r="B5779"/>
    </row>
    <row r="5780" spans="2:2">
      <c r="B5780"/>
    </row>
    <row r="5781" spans="2:2">
      <c r="B5781"/>
    </row>
    <row r="5782" spans="2:2">
      <c r="B5782"/>
    </row>
    <row r="5783" spans="2:2">
      <c r="B5783"/>
    </row>
    <row r="5784" spans="2:2">
      <c r="B5784"/>
    </row>
    <row r="5785" spans="2:2">
      <c r="B5785"/>
    </row>
    <row r="5786" spans="2:2">
      <c r="B5786"/>
    </row>
    <row r="5787" spans="2:2">
      <c r="B5787"/>
    </row>
    <row r="5788" spans="2:2">
      <c r="B5788"/>
    </row>
    <row r="5789" spans="2:2">
      <c r="B5789"/>
    </row>
    <row r="5790" spans="2:2">
      <c r="B5790"/>
    </row>
    <row r="5791" spans="2:2">
      <c r="B5791"/>
    </row>
    <row r="5792" spans="2:2">
      <c r="B5792"/>
    </row>
    <row r="5793" spans="2:2">
      <c r="B5793"/>
    </row>
    <row r="5794" spans="2:2">
      <c r="B5794"/>
    </row>
    <row r="5795" spans="2:2">
      <c r="B5795"/>
    </row>
    <row r="5796" spans="2:2">
      <c r="B5796"/>
    </row>
    <row r="5797" spans="2:2">
      <c r="B5797"/>
    </row>
    <row r="5798" spans="2:2">
      <c r="B5798"/>
    </row>
    <row r="5799" spans="2:2">
      <c r="B5799"/>
    </row>
    <row r="5800" spans="2:2">
      <c r="B5800"/>
    </row>
    <row r="5801" spans="2:2">
      <c r="B5801"/>
    </row>
    <row r="5802" spans="2:2">
      <c r="B5802"/>
    </row>
    <row r="5803" spans="2:2">
      <c r="B5803"/>
    </row>
    <row r="5804" spans="2:2">
      <c r="B5804"/>
    </row>
    <row r="5805" spans="2:2">
      <c r="B5805"/>
    </row>
    <row r="5806" spans="2:2">
      <c r="B5806"/>
    </row>
    <row r="5807" spans="2:2">
      <c r="B5807"/>
    </row>
    <row r="5808" spans="2:2">
      <c r="B5808"/>
    </row>
    <row r="5809" spans="2:2">
      <c r="B5809"/>
    </row>
    <row r="5810" spans="2:2">
      <c r="B5810"/>
    </row>
    <row r="5811" spans="2:2">
      <c r="B5811"/>
    </row>
    <row r="5812" spans="2:2">
      <c r="B5812"/>
    </row>
    <row r="5813" spans="2:2">
      <c r="B5813"/>
    </row>
    <row r="5814" spans="2:2">
      <c r="B5814"/>
    </row>
    <row r="5815" spans="2:2">
      <c r="B5815"/>
    </row>
    <row r="5816" spans="2:2">
      <c r="B5816"/>
    </row>
    <row r="5817" spans="2:2">
      <c r="B5817"/>
    </row>
    <row r="5818" spans="2:2">
      <c r="B5818"/>
    </row>
    <row r="5819" spans="2:2">
      <c r="B5819"/>
    </row>
    <row r="5820" spans="2:2">
      <c r="B5820"/>
    </row>
    <row r="5821" spans="2:2">
      <c r="B5821"/>
    </row>
    <row r="5822" spans="2:2">
      <c r="B5822"/>
    </row>
    <row r="5823" spans="2:2">
      <c r="B5823"/>
    </row>
    <row r="5824" spans="2:2">
      <c r="B5824"/>
    </row>
    <row r="5825" spans="2:2">
      <c r="B5825"/>
    </row>
    <row r="5826" spans="2:2">
      <c r="B5826"/>
    </row>
    <row r="5827" spans="2:2">
      <c r="B5827"/>
    </row>
    <row r="5828" spans="2:2">
      <c r="B5828"/>
    </row>
    <row r="5829" spans="2:2">
      <c r="B5829"/>
    </row>
    <row r="5830" spans="2:2">
      <c r="B5830"/>
    </row>
    <row r="5831" spans="2:2">
      <c r="B5831"/>
    </row>
    <row r="5832" spans="2:2">
      <c r="B5832"/>
    </row>
    <row r="5833" spans="2:2">
      <c r="B5833"/>
    </row>
    <row r="5834" spans="2:2">
      <c r="B5834"/>
    </row>
    <row r="5835" spans="2:2">
      <c r="B5835"/>
    </row>
    <row r="5836" spans="2:2">
      <c r="B5836"/>
    </row>
    <row r="5837" spans="2:2">
      <c r="B5837"/>
    </row>
    <row r="5838" spans="2:2">
      <c r="B5838"/>
    </row>
    <row r="5839" spans="2:2">
      <c r="B5839"/>
    </row>
    <row r="5840" spans="2:2">
      <c r="B5840"/>
    </row>
    <row r="5841" spans="2:2">
      <c r="B5841"/>
    </row>
    <row r="5842" spans="2:2">
      <c r="B5842"/>
    </row>
    <row r="5843" spans="2:2">
      <c r="B5843"/>
    </row>
    <row r="5844" spans="2:2">
      <c r="B5844"/>
    </row>
    <row r="5845" spans="2:2">
      <c r="B5845"/>
    </row>
    <row r="5846" spans="2:2">
      <c r="B5846"/>
    </row>
    <row r="5847" spans="2:2">
      <c r="B5847"/>
    </row>
    <row r="5848" spans="2:2">
      <c r="B5848"/>
    </row>
    <row r="5849" spans="2:2">
      <c r="B5849"/>
    </row>
    <row r="5850" spans="2:2">
      <c r="B5850"/>
    </row>
    <row r="5851" spans="2:2">
      <c r="B5851"/>
    </row>
    <row r="5852" spans="2:2">
      <c r="B5852"/>
    </row>
    <row r="5853" spans="2:2">
      <c r="B5853"/>
    </row>
    <row r="5854" spans="2:2">
      <c r="B5854"/>
    </row>
    <row r="5855" spans="2:2">
      <c r="B5855"/>
    </row>
    <row r="5856" spans="2:2">
      <c r="B5856"/>
    </row>
    <row r="5857" spans="2:2">
      <c r="B5857"/>
    </row>
    <row r="5858" spans="2:2">
      <c r="B5858"/>
    </row>
    <row r="5859" spans="2:2">
      <c r="B5859"/>
    </row>
    <row r="5860" spans="2:2">
      <c r="B5860"/>
    </row>
    <row r="5861" spans="2:2">
      <c r="B5861"/>
    </row>
    <row r="5862" spans="2:2">
      <c r="B5862"/>
    </row>
    <row r="5863" spans="2:2">
      <c r="B5863"/>
    </row>
    <row r="5864" spans="2:2">
      <c r="B5864"/>
    </row>
    <row r="5865" spans="2:2">
      <c r="B5865"/>
    </row>
    <row r="5866" spans="2:2">
      <c r="B5866"/>
    </row>
    <row r="5867" spans="2:2">
      <c r="B5867"/>
    </row>
    <row r="5868" spans="2:2">
      <c r="B5868"/>
    </row>
    <row r="5869" spans="2:2">
      <c r="B5869"/>
    </row>
    <row r="5870" spans="2:2">
      <c r="B5870"/>
    </row>
    <row r="5871" spans="2:2">
      <c r="B5871"/>
    </row>
    <row r="5872" spans="2:2">
      <c r="B5872"/>
    </row>
    <row r="5873" spans="2:2">
      <c r="B5873"/>
    </row>
    <row r="5874" spans="2:2">
      <c r="B5874"/>
    </row>
    <row r="5875" spans="2:2">
      <c r="B5875"/>
    </row>
    <row r="5876" spans="2:2">
      <c r="B5876"/>
    </row>
    <row r="5877" spans="2:2">
      <c r="B5877"/>
    </row>
    <row r="5878" spans="2:2">
      <c r="B5878"/>
    </row>
    <row r="5879" spans="2:2">
      <c r="B5879"/>
    </row>
    <row r="5880" spans="2:2">
      <c r="B5880"/>
    </row>
    <row r="5881" spans="2:2">
      <c r="B5881"/>
    </row>
    <row r="5882" spans="2:2">
      <c r="B5882"/>
    </row>
    <row r="5883" spans="2:2">
      <c r="B5883"/>
    </row>
    <row r="5884" spans="2:2">
      <c r="B5884"/>
    </row>
    <row r="5885" spans="2:2">
      <c r="B5885"/>
    </row>
    <row r="5886" spans="2:2">
      <c r="B5886"/>
    </row>
    <row r="5887" spans="2:2">
      <c r="B5887"/>
    </row>
    <row r="5888" spans="2:2">
      <c r="B5888"/>
    </row>
    <row r="5889" spans="2:2">
      <c r="B5889"/>
    </row>
    <row r="5890" spans="2:2">
      <c r="B5890"/>
    </row>
    <row r="5891" spans="2:2">
      <c r="B5891"/>
    </row>
    <row r="5892" spans="2:2">
      <c r="B5892"/>
    </row>
    <row r="5893" spans="2:2">
      <c r="B5893"/>
    </row>
    <row r="5894" spans="2:2">
      <c r="B5894"/>
    </row>
    <row r="5895" spans="2:2">
      <c r="B5895"/>
    </row>
    <row r="5896" spans="2:2">
      <c r="B5896"/>
    </row>
    <row r="5897" spans="2:2">
      <c r="B5897"/>
    </row>
    <row r="5898" spans="2:2">
      <c r="B5898"/>
    </row>
    <row r="5899" spans="2:2">
      <c r="B5899"/>
    </row>
    <row r="5900" spans="2:2">
      <c r="B5900"/>
    </row>
    <row r="5901" spans="2:2">
      <c r="B5901"/>
    </row>
    <row r="5902" spans="2:2">
      <c r="B5902"/>
    </row>
    <row r="5903" spans="2:2">
      <c r="B5903"/>
    </row>
    <row r="5904" spans="2:2">
      <c r="B5904"/>
    </row>
    <row r="5905" spans="2:2">
      <c r="B5905"/>
    </row>
    <row r="5906" spans="2:2">
      <c r="B5906"/>
    </row>
    <row r="5907" spans="2:2">
      <c r="B5907"/>
    </row>
    <row r="5908" spans="2:2">
      <c r="B5908"/>
    </row>
    <row r="5909" spans="2:2">
      <c r="B5909"/>
    </row>
    <row r="5910" spans="2:2">
      <c r="B5910"/>
    </row>
    <row r="5911" spans="2:2">
      <c r="B5911"/>
    </row>
    <row r="5912" spans="2:2">
      <c r="B5912"/>
    </row>
    <row r="5913" spans="2:2">
      <c r="B5913"/>
    </row>
    <row r="5914" spans="2:2">
      <c r="B5914"/>
    </row>
    <row r="5915" spans="2:2">
      <c r="B5915"/>
    </row>
    <row r="5916" spans="2:2">
      <c r="B5916"/>
    </row>
    <row r="5917" spans="2:2">
      <c r="B5917"/>
    </row>
    <row r="5918" spans="2:2">
      <c r="B5918"/>
    </row>
    <row r="5919" spans="2:2">
      <c r="B5919"/>
    </row>
    <row r="5920" spans="2:2">
      <c r="B5920"/>
    </row>
    <row r="5921" spans="2:2">
      <c r="B5921"/>
    </row>
    <row r="5922" spans="2:2">
      <c r="B5922"/>
    </row>
    <row r="5923" spans="2:2">
      <c r="B5923"/>
    </row>
    <row r="5924" spans="2:2">
      <c r="B5924"/>
    </row>
    <row r="5925" spans="2:2">
      <c r="B5925"/>
    </row>
    <row r="5926" spans="2:2">
      <c r="B5926"/>
    </row>
    <row r="5927" spans="2:2">
      <c r="B5927"/>
    </row>
    <row r="5928" spans="2:2">
      <c r="B5928"/>
    </row>
    <row r="5929" spans="2:2">
      <c r="B5929"/>
    </row>
    <row r="5930" spans="2:2">
      <c r="B5930"/>
    </row>
    <row r="5931" spans="2:2">
      <c r="B5931"/>
    </row>
    <row r="5932" spans="2:2">
      <c r="B5932"/>
    </row>
    <row r="5933" spans="2:2">
      <c r="B5933"/>
    </row>
    <row r="5934" spans="2:2">
      <c r="B5934"/>
    </row>
    <row r="5935" spans="2:2">
      <c r="B5935"/>
    </row>
    <row r="5936" spans="2:2">
      <c r="B5936"/>
    </row>
    <row r="5937" spans="2:2">
      <c r="B5937"/>
    </row>
    <row r="5938" spans="2:2">
      <c r="B5938"/>
    </row>
    <row r="5939" spans="2:2">
      <c r="B5939"/>
    </row>
    <row r="5940" spans="2:2">
      <c r="B5940"/>
    </row>
    <row r="5941" spans="2:2">
      <c r="B5941"/>
    </row>
    <row r="5942" spans="2:2">
      <c r="B5942"/>
    </row>
    <row r="5943" spans="2:2">
      <c r="B5943"/>
    </row>
    <row r="5944" spans="2:2">
      <c r="B5944"/>
    </row>
    <row r="5945" spans="2:2">
      <c r="B5945"/>
    </row>
    <row r="5946" spans="2:2">
      <c r="B5946"/>
    </row>
    <row r="5947" spans="2:2">
      <c r="B5947"/>
    </row>
    <row r="5948" spans="2:2">
      <c r="B5948"/>
    </row>
    <row r="5949" spans="2:2">
      <c r="B5949"/>
    </row>
    <row r="5950" spans="2:2">
      <c r="B5950"/>
    </row>
    <row r="5951" spans="2:2">
      <c r="B5951"/>
    </row>
    <row r="5952" spans="2:2">
      <c r="B5952"/>
    </row>
    <row r="5953" spans="2:2">
      <c r="B5953"/>
    </row>
    <row r="5954" spans="2:2">
      <c r="B5954"/>
    </row>
    <row r="5955" spans="2:2">
      <c r="B5955"/>
    </row>
    <row r="5956" spans="2:2">
      <c r="B5956"/>
    </row>
    <row r="5957" spans="2:2">
      <c r="B5957"/>
    </row>
    <row r="5958" spans="2:2">
      <c r="B5958"/>
    </row>
    <row r="5959" spans="2:2">
      <c r="B5959"/>
    </row>
    <row r="5960" spans="2:2">
      <c r="B5960"/>
    </row>
    <row r="5961" spans="2:2">
      <c r="B5961"/>
    </row>
    <row r="5962" spans="2:2">
      <c r="B5962"/>
    </row>
    <row r="5963" spans="2:2">
      <c r="B5963"/>
    </row>
    <row r="5964" spans="2:2">
      <c r="B5964"/>
    </row>
    <row r="5965" spans="2:2">
      <c r="B5965"/>
    </row>
    <row r="5966" spans="2:2">
      <c r="B5966"/>
    </row>
    <row r="5967" spans="2:2">
      <c r="B5967"/>
    </row>
    <row r="5968" spans="2:2">
      <c r="B5968"/>
    </row>
    <row r="5969" spans="2:2">
      <c r="B5969"/>
    </row>
    <row r="5970" spans="2:2">
      <c r="B5970"/>
    </row>
    <row r="5971" spans="2:2">
      <c r="B5971"/>
    </row>
    <row r="5972" spans="2:2">
      <c r="B5972"/>
    </row>
    <row r="5973" spans="2:2">
      <c r="B5973"/>
    </row>
    <row r="5974" spans="2:2">
      <c r="B5974"/>
    </row>
    <row r="5975" spans="2:2">
      <c r="B5975"/>
    </row>
    <row r="5976" spans="2:2">
      <c r="B5976"/>
    </row>
    <row r="5977" spans="2:2">
      <c r="B5977"/>
    </row>
    <row r="5978" spans="2:2">
      <c r="B5978"/>
    </row>
    <row r="5979" spans="2:2">
      <c r="B5979"/>
    </row>
    <row r="5980" spans="2:2">
      <c r="B5980"/>
    </row>
    <row r="5981" spans="2:2">
      <c r="B5981"/>
    </row>
    <row r="5982" spans="2:2">
      <c r="B5982"/>
    </row>
    <row r="5983" spans="2:2">
      <c r="B5983"/>
    </row>
    <row r="5984" spans="2:2">
      <c r="B5984"/>
    </row>
    <row r="5985" spans="2:2">
      <c r="B5985"/>
    </row>
    <row r="5986" spans="2:2">
      <c r="B5986"/>
    </row>
    <row r="5987" spans="2:2">
      <c r="B5987"/>
    </row>
    <row r="5988" spans="2:2">
      <c r="B5988"/>
    </row>
    <row r="5989" spans="2:2">
      <c r="B5989"/>
    </row>
    <row r="5990" spans="2:2">
      <c r="B5990"/>
    </row>
    <row r="5991" spans="2:2">
      <c r="B5991"/>
    </row>
    <row r="5992" spans="2:2">
      <c r="B5992"/>
    </row>
    <row r="5993" spans="2:2">
      <c r="B5993"/>
    </row>
    <row r="5994" spans="2:2">
      <c r="B5994"/>
    </row>
    <row r="5995" spans="2:2">
      <c r="B5995"/>
    </row>
    <row r="5996" spans="2:2">
      <c r="B5996"/>
    </row>
    <row r="5997" spans="2:2">
      <c r="B5997"/>
    </row>
    <row r="5998" spans="2:2">
      <c r="B5998"/>
    </row>
    <row r="5999" spans="2:2">
      <c r="B5999"/>
    </row>
    <row r="6000" spans="2:2">
      <c r="B6000"/>
    </row>
    <row r="6001" spans="2:2">
      <c r="B6001"/>
    </row>
    <row r="6002" spans="2:2">
      <c r="B6002"/>
    </row>
    <row r="6003" spans="2:2">
      <c r="B6003"/>
    </row>
    <row r="6004" spans="2:2">
      <c r="B6004"/>
    </row>
    <row r="6005" spans="2:2">
      <c r="B6005"/>
    </row>
    <row r="6006" spans="2:2">
      <c r="B6006"/>
    </row>
    <row r="6007" spans="2:2">
      <c r="B6007"/>
    </row>
    <row r="6008" spans="2:2">
      <c r="B6008"/>
    </row>
    <row r="6009" spans="2:2">
      <c r="B6009"/>
    </row>
    <row r="6010" spans="2:2">
      <c r="B6010"/>
    </row>
    <row r="6011" spans="2:2">
      <c r="B6011"/>
    </row>
    <row r="6012" spans="2:2">
      <c r="B6012"/>
    </row>
    <row r="6013" spans="2:2">
      <c r="B6013"/>
    </row>
    <row r="6014" spans="2:2">
      <c r="B6014"/>
    </row>
    <row r="6015" spans="2:2">
      <c r="B6015"/>
    </row>
    <row r="6016" spans="2:2">
      <c r="B6016"/>
    </row>
    <row r="6017" spans="2:2">
      <c r="B6017"/>
    </row>
    <row r="6018" spans="2:2">
      <c r="B6018"/>
    </row>
    <row r="6019" spans="2:2">
      <c r="B6019"/>
    </row>
    <row r="6020" spans="2:2">
      <c r="B6020"/>
    </row>
    <row r="6021" spans="2:2">
      <c r="B6021"/>
    </row>
    <row r="6022" spans="2:2">
      <c r="B6022"/>
    </row>
    <row r="6023" spans="2:2">
      <c r="B6023"/>
    </row>
    <row r="6024" spans="2:2">
      <c r="B6024"/>
    </row>
    <row r="6025" spans="2:2">
      <c r="B6025"/>
    </row>
    <row r="6026" spans="2:2">
      <c r="B6026"/>
    </row>
    <row r="6027" spans="2:2">
      <c r="B6027"/>
    </row>
    <row r="6028" spans="2:2">
      <c r="B6028"/>
    </row>
    <row r="6029" spans="2:2">
      <c r="B6029"/>
    </row>
    <row r="6030" spans="2:2">
      <c r="B6030"/>
    </row>
    <row r="6031" spans="2:2">
      <c r="B6031"/>
    </row>
    <row r="6032" spans="2:2">
      <c r="B6032"/>
    </row>
    <row r="6033" spans="2:2">
      <c r="B6033"/>
    </row>
    <row r="6034" spans="2:2">
      <c r="B6034"/>
    </row>
    <row r="6035" spans="2:2">
      <c r="B6035"/>
    </row>
    <row r="6036" spans="2:2">
      <c r="B6036"/>
    </row>
    <row r="6037" spans="2:2">
      <c r="B6037"/>
    </row>
    <row r="6038" spans="2:2">
      <c r="B6038"/>
    </row>
    <row r="6039" spans="2:2">
      <c r="B6039"/>
    </row>
    <row r="6040" spans="2:2">
      <c r="B6040"/>
    </row>
    <row r="6041" spans="2:2">
      <c r="B6041"/>
    </row>
    <row r="6042" spans="2:2">
      <c r="B6042"/>
    </row>
    <row r="6043" spans="2:2">
      <c r="B6043"/>
    </row>
    <row r="6044" spans="2:2">
      <c r="B6044"/>
    </row>
    <row r="6045" spans="2:2">
      <c r="B6045"/>
    </row>
    <row r="6046" spans="2:2">
      <c r="B6046"/>
    </row>
    <row r="6047" spans="2:2">
      <c r="B6047"/>
    </row>
    <row r="6048" spans="2:2">
      <c r="B6048"/>
    </row>
    <row r="6049" spans="2:2">
      <c r="B6049"/>
    </row>
    <row r="6050" spans="2:2">
      <c r="B6050"/>
    </row>
    <row r="6051" spans="2:2">
      <c r="B6051"/>
    </row>
    <row r="6052" spans="2:2">
      <c r="B6052"/>
    </row>
    <row r="6053" spans="2:2">
      <c r="B6053"/>
    </row>
    <row r="6054" spans="2:2">
      <c r="B6054"/>
    </row>
    <row r="6055" spans="2:2">
      <c r="B6055"/>
    </row>
    <row r="6056" spans="2:2">
      <c r="B6056"/>
    </row>
    <row r="6057" spans="2:2">
      <c r="B6057"/>
    </row>
    <row r="6058" spans="2:2">
      <c r="B6058"/>
    </row>
    <row r="6059" spans="2:2">
      <c r="B6059"/>
    </row>
    <row r="6060" spans="2:2">
      <c r="B6060"/>
    </row>
    <row r="6061" spans="2:2">
      <c r="B6061"/>
    </row>
    <row r="6062" spans="2:2">
      <c r="B6062"/>
    </row>
    <row r="6063" spans="2:2">
      <c r="B6063"/>
    </row>
    <row r="6064" spans="2:2">
      <c r="B6064"/>
    </row>
    <row r="6065" spans="2:2">
      <c r="B6065"/>
    </row>
    <row r="6066" spans="2:2">
      <c r="B6066"/>
    </row>
    <row r="6067" spans="2:2">
      <c r="B6067"/>
    </row>
    <row r="6068" spans="2:2">
      <c r="B6068"/>
    </row>
    <row r="6069" spans="2:2">
      <c r="B6069"/>
    </row>
    <row r="6070" spans="2:2">
      <c r="B6070"/>
    </row>
    <row r="6071" spans="2:2">
      <c r="B6071"/>
    </row>
    <row r="6072" spans="2:2">
      <c r="B6072"/>
    </row>
    <row r="6073" spans="2:2">
      <c r="B6073"/>
    </row>
    <row r="6074" spans="2:2">
      <c r="B6074"/>
    </row>
    <row r="6075" spans="2:2">
      <c r="B6075"/>
    </row>
    <row r="6076" spans="2:2">
      <c r="B6076"/>
    </row>
    <row r="6077" spans="2:2">
      <c r="B6077"/>
    </row>
    <row r="6078" spans="2:2">
      <c r="B6078"/>
    </row>
    <row r="6079" spans="2:2">
      <c r="B6079"/>
    </row>
    <row r="6080" spans="2:2">
      <c r="B6080"/>
    </row>
    <row r="6081" spans="2:2">
      <c r="B6081"/>
    </row>
    <row r="6082" spans="2:2">
      <c r="B6082"/>
    </row>
    <row r="6083" spans="2:2">
      <c r="B6083"/>
    </row>
    <row r="6084" spans="2:2">
      <c r="B6084"/>
    </row>
    <row r="6085" spans="2:2">
      <c r="B6085"/>
    </row>
    <row r="6086" spans="2:2">
      <c r="B6086"/>
    </row>
    <row r="6087" spans="2:2">
      <c r="B6087"/>
    </row>
    <row r="6088" spans="2:2">
      <c r="B6088"/>
    </row>
    <row r="6089" spans="2:2">
      <c r="B6089"/>
    </row>
    <row r="6090" spans="2:2">
      <c r="B6090"/>
    </row>
    <row r="6091" spans="2:2">
      <c r="B6091"/>
    </row>
    <row r="6092" spans="2:2">
      <c r="B6092"/>
    </row>
    <row r="6093" spans="2:2">
      <c r="B6093"/>
    </row>
    <row r="6094" spans="2:2">
      <c r="B6094"/>
    </row>
    <row r="6095" spans="2:2">
      <c r="B6095"/>
    </row>
    <row r="6096" spans="2:2">
      <c r="B6096"/>
    </row>
    <row r="6097" spans="2:2">
      <c r="B6097"/>
    </row>
    <row r="6098" spans="2:2">
      <c r="B6098"/>
    </row>
    <row r="6099" spans="2:2">
      <c r="B6099"/>
    </row>
    <row r="6100" spans="2:2">
      <c r="B6100"/>
    </row>
    <row r="6101" spans="2:2">
      <c r="B6101"/>
    </row>
    <row r="6102" spans="2:2">
      <c r="B6102"/>
    </row>
    <row r="6103" spans="2:2">
      <c r="B6103"/>
    </row>
    <row r="6104" spans="2:2">
      <c r="B6104"/>
    </row>
    <row r="6105" spans="2:2">
      <c r="B6105"/>
    </row>
    <row r="6106" spans="2:2">
      <c r="B6106"/>
    </row>
    <row r="6107" spans="2:2">
      <c r="B6107"/>
    </row>
    <row r="6108" spans="2:2">
      <c r="B6108"/>
    </row>
    <row r="6109" spans="2:2">
      <c r="B6109"/>
    </row>
    <row r="6110" spans="2:2">
      <c r="B6110"/>
    </row>
    <row r="6111" spans="2:2">
      <c r="B6111"/>
    </row>
    <row r="6112" spans="2:2">
      <c r="B6112"/>
    </row>
    <row r="6113" spans="2:2">
      <c r="B6113"/>
    </row>
    <row r="6114" spans="2:2">
      <c r="B6114"/>
    </row>
    <row r="6115" spans="2:2">
      <c r="B6115"/>
    </row>
    <row r="6116" spans="2:2">
      <c r="B6116"/>
    </row>
    <row r="6117" spans="2:2">
      <c r="B6117"/>
    </row>
    <row r="6118" spans="2:2">
      <c r="B6118"/>
    </row>
    <row r="6119" spans="2:2">
      <c r="B6119"/>
    </row>
    <row r="6120" spans="2:2">
      <c r="B6120"/>
    </row>
    <row r="6121" spans="2:2">
      <c r="B6121"/>
    </row>
    <row r="6122" spans="2:2">
      <c r="B6122"/>
    </row>
    <row r="6123" spans="2:2">
      <c r="B6123"/>
    </row>
    <row r="6124" spans="2:2">
      <c r="B6124"/>
    </row>
    <row r="6125" spans="2:2">
      <c r="B6125"/>
    </row>
    <row r="6126" spans="2:2">
      <c r="B6126"/>
    </row>
    <row r="6127" spans="2:2">
      <c r="B6127"/>
    </row>
    <row r="6128" spans="2:2">
      <c r="B6128"/>
    </row>
    <row r="6129" spans="2:2">
      <c r="B6129"/>
    </row>
    <row r="6130" spans="2:2">
      <c r="B6130"/>
    </row>
    <row r="6131" spans="2:2">
      <c r="B6131"/>
    </row>
    <row r="6132" spans="2:2">
      <c r="B6132"/>
    </row>
    <row r="6133" spans="2:2">
      <c r="B6133"/>
    </row>
    <row r="6134" spans="2:2">
      <c r="B6134"/>
    </row>
    <row r="6135" spans="2:2">
      <c r="B6135"/>
    </row>
    <row r="6136" spans="2:2">
      <c r="B6136"/>
    </row>
    <row r="6137" spans="2:2">
      <c r="B6137"/>
    </row>
    <row r="6138" spans="2:2">
      <c r="B6138"/>
    </row>
    <row r="6139" spans="2:2">
      <c r="B6139"/>
    </row>
    <row r="6140" spans="2:2">
      <c r="B6140"/>
    </row>
    <row r="6141" spans="2:2">
      <c r="B6141"/>
    </row>
    <row r="6142" spans="2:2">
      <c r="B6142"/>
    </row>
    <row r="6143" spans="2:2">
      <c r="B6143"/>
    </row>
    <row r="6144" spans="2:2">
      <c r="B6144"/>
    </row>
    <row r="6145" spans="2:2">
      <c r="B6145"/>
    </row>
    <row r="6146" spans="2:2">
      <c r="B6146"/>
    </row>
    <row r="6147" spans="2:2">
      <c r="B6147"/>
    </row>
    <row r="6148" spans="2:2">
      <c r="B6148"/>
    </row>
    <row r="6149" spans="2:2">
      <c r="B6149"/>
    </row>
    <row r="6150" spans="2:2">
      <c r="B6150"/>
    </row>
    <row r="6151" spans="2:2">
      <c r="B6151"/>
    </row>
    <row r="6152" spans="2:2">
      <c r="B6152"/>
    </row>
    <row r="6153" spans="2:2">
      <c r="B6153"/>
    </row>
    <row r="6154" spans="2:2">
      <c r="B6154"/>
    </row>
    <row r="6155" spans="2:2">
      <c r="B6155"/>
    </row>
    <row r="6156" spans="2:2">
      <c r="B6156"/>
    </row>
    <row r="6157" spans="2:2">
      <c r="B6157"/>
    </row>
    <row r="6158" spans="2:2">
      <c r="B6158"/>
    </row>
    <row r="6159" spans="2:2">
      <c r="B6159"/>
    </row>
    <row r="6160" spans="2:2">
      <c r="B6160"/>
    </row>
    <row r="6161" spans="2:2">
      <c r="B6161"/>
    </row>
    <row r="6162" spans="2:2">
      <c r="B6162"/>
    </row>
    <row r="6163" spans="2:2">
      <c r="B6163"/>
    </row>
    <row r="6164" spans="2:2">
      <c r="B6164"/>
    </row>
    <row r="6165" spans="2:2">
      <c r="B6165"/>
    </row>
    <row r="6166" spans="2:2">
      <c r="B6166"/>
    </row>
    <row r="6167" spans="2:2">
      <c r="B6167"/>
    </row>
    <row r="6168" spans="2:2">
      <c r="B6168"/>
    </row>
    <row r="6169" spans="2:2">
      <c r="B6169"/>
    </row>
    <row r="6170" spans="2:2">
      <c r="B6170"/>
    </row>
    <row r="6171" spans="2:2">
      <c r="B6171"/>
    </row>
    <row r="6172" spans="2:2">
      <c r="B6172"/>
    </row>
    <row r="6173" spans="2:2">
      <c r="B6173"/>
    </row>
    <row r="6174" spans="2:2">
      <c r="B6174"/>
    </row>
    <row r="6175" spans="2:2">
      <c r="B6175"/>
    </row>
    <row r="6176" spans="2:2">
      <c r="B6176"/>
    </row>
    <row r="6177" spans="2:2">
      <c r="B6177"/>
    </row>
    <row r="6178" spans="2:2">
      <c r="B6178"/>
    </row>
    <row r="6179" spans="2:2">
      <c r="B6179"/>
    </row>
    <row r="6180" spans="2:2">
      <c r="B6180"/>
    </row>
    <row r="6181" spans="2:2">
      <c r="B6181"/>
    </row>
    <row r="6182" spans="2:2">
      <c r="B6182"/>
    </row>
    <row r="6183" spans="2:2">
      <c r="B6183"/>
    </row>
    <row r="6184" spans="2:2">
      <c r="B6184"/>
    </row>
    <row r="6185" spans="2:2">
      <c r="B6185"/>
    </row>
    <row r="6186" spans="2:2">
      <c r="B6186"/>
    </row>
    <row r="6187" spans="2:2">
      <c r="B6187"/>
    </row>
    <row r="6188" spans="2:2">
      <c r="B6188"/>
    </row>
    <row r="6189" spans="2:2">
      <c r="B6189"/>
    </row>
    <row r="6190" spans="2:2">
      <c r="B6190"/>
    </row>
    <row r="6191" spans="2:2">
      <c r="B6191"/>
    </row>
    <row r="6192" spans="2:2">
      <c r="B6192"/>
    </row>
    <row r="6193" spans="2:2">
      <c r="B6193"/>
    </row>
    <row r="6194" spans="2:2">
      <c r="B6194"/>
    </row>
    <row r="6195" spans="2:2">
      <c r="B6195"/>
    </row>
    <row r="6196" spans="2:2">
      <c r="B6196"/>
    </row>
    <row r="6197" spans="2:2">
      <c r="B6197"/>
    </row>
    <row r="6198" spans="2:2">
      <c r="B6198"/>
    </row>
    <row r="6199" spans="2:2">
      <c r="B6199"/>
    </row>
    <row r="6200" spans="2:2">
      <c r="B6200"/>
    </row>
    <row r="6201" spans="2:2">
      <c r="B6201"/>
    </row>
    <row r="6202" spans="2:2">
      <c r="B6202"/>
    </row>
    <row r="6203" spans="2:2">
      <c r="B6203"/>
    </row>
    <row r="6204" spans="2:2">
      <c r="B6204"/>
    </row>
    <row r="6205" spans="2:2">
      <c r="B6205"/>
    </row>
    <row r="6206" spans="2:2">
      <c r="B6206"/>
    </row>
    <row r="6207" spans="2:2">
      <c r="B6207"/>
    </row>
    <row r="6208" spans="2:2">
      <c r="B6208"/>
    </row>
    <row r="6209" spans="2:2">
      <c r="B6209"/>
    </row>
    <row r="6210" spans="2:2">
      <c r="B6210"/>
    </row>
    <row r="6211" spans="2:2">
      <c r="B6211"/>
    </row>
    <row r="6212" spans="2:2">
      <c r="B6212"/>
    </row>
    <row r="6213" spans="2:2">
      <c r="B6213"/>
    </row>
    <row r="6214" spans="2:2">
      <c r="B6214"/>
    </row>
    <row r="6215" spans="2:2">
      <c r="B6215"/>
    </row>
    <row r="6216" spans="2:2">
      <c r="B6216"/>
    </row>
    <row r="6217" spans="2:2">
      <c r="B6217"/>
    </row>
    <row r="6218" spans="2:2">
      <c r="B6218"/>
    </row>
    <row r="6219" spans="2:2">
      <c r="B6219"/>
    </row>
    <row r="6220" spans="2:2">
      <c r="B6220"/>
    </row>
    <row r="6221" spans="2:2">
      <c r="B6221"/>
    </row>
    <row r="6222" spans="2:2">
      <c r="B6222"/>
    </row>
    <row r="6223" spans="2:2">
      <c r="B6223"/>
    </row>
    <row r="6224" spans="2:2">
      <c r="B6224"/>
    </row>
    <row r="6225" spans="2:2">
      <c r="B6225"/>
    </row>
    <row r="6226" spans="2:2">
      <c r="B6226"/>
    </row>
    <row r="6227" spans="2:2">
      <c r="B6227"/>
    </row>
    <row r="6228" spans="2:2">
      <c r="B6228"/>
    </row>
    <row r="6229" spans="2:2">
      <c r="B6229"/>
    </row>
    <row r="6230" spans="2:2">
      <c r="B6230"/>
    </row>
    <row r="6231" spans="2:2">
      <c r="B6231"/>
    </row>
    <row r="6232" spans="2:2">
      <c r="B6232"/>
    </row>
    <row r="6233" spans="2:2">
      <c r="B6233"/>
    </row>
    <row r="6234" spans="2:2">
      <c r="B6234"/>
    </row>
    <row r="6235" spans="2:2">
      <c r="B6235"/>
    </row>
    <row r="6236" spans="2:2">
      <c r="B6236"/>
    </row>
    <row r="6237" spans="2:2">
      <c r="B6237"/>
    </row>
    <row r="6238" spans="2:2">
      <c r="B6238"/>
    </row>
    <row r="6239" spans="2:2">
      <c r="B6239"/>
    </row>
    <row r="6240" spans="2:2">
      <c r="B6240"/>
    </row>
    <row r="6241" spans="2:2">
      <c r="B6241"/>
    </row>
    <row r="6242" spans="2:2">
      <c r="B6242"/>
    </row>
    <row r="6243" spans="2:2">
      <c r="B6243"/>
    </row>
    <row r="6244" spans="2:2">
      <c r="B6244"/>
    </row>
    <row r="6245" spans="2:2">
      <c r="B6245"/>
    </row>
    <row r="6246" spans="2:2">
      <c r="B6246"/>
    </row>
    <row r="6247" spans="2:2">
      <c r="B6247"/>
    </row>
    <row r="6248" spans="2:2">
      <c r="B6248"/>
    </row>
    <row r="6249" spans="2:2">
      <c r="B6249"/>
    </row>
    <row r="6250" spans="2:2">
      <c r="B6250"/>
    </row>
    <row r="6251" spans="2:2">
      <c r="B6251"/>
    </row>
    <row r="6252" spans="2:2">
      <c r="B6252"/>
    </row>
    <row r="6253" spans="2:2">
      <c r="B6253"/>
    </row>
    <row r="6254" spans="2:2">
      <c r="B6254"/>
    </row>
    <row r="6255" spans="2:2">
      <c r="B6255"/>
    </row>
    <row r="6256" spans="2:2">
      <c r="B6256"/>
    </row>
    <row r="6257" spans="2:2">
      <c r="B6257"/>
    </row>
    <row r="6258" spans="2:2">
      <c r="B6258"/>
    </row>
    <row r="6259" spans="2:2">
      <c r="B6259"/>
    </row>
    <row r="6260" spans="2:2">
      <c r="B6260"/>
    </row>
    <row r="6261" spans="2:2">
      <c r="B6261"/>
    </row>
    <row r="6262" spans="2:2">
      <c r="B6262"/>
    </row>
    <row r="6263" spans="2:2">
      <c r="B6263"/>
    </row>
    <row r="6264" spans="2:2">
      <c r="B6264"/>
    </row>
    <row r="6265" spans="2:2">
      <c r="B6265"/>
    </row>
    <row r="6266" spans="2:2">
      <c r="B6266"/>
    </row>
    <row r="6267" spans="2:2">
      <c r="B6267"/>
    </row>
    <row r="6268" spans="2:2">
      <c r="B6268"/>
    </row>
    <row r="6269" spans="2:2">
      <c r="B6269"/>
    </row>
    <row r="6270" spans="2:2">
      <c r="B6270"/>
    </row>
    <row r="6271" spans="2:2">
      <c r="B6271"/>
    </row>
    <row r="6272" spans="2:2">
      <c r="B6272"/>
    </row>
    <row r="6273" spans="2:2">
      <c r="B6273"/>
    </row>
    <row r="6274" spans="2:2">
      <c r="B6274"/>
    </row>
    <row r="6275" spans="2:2">
      <c r="B6275"/>
    </row>
    <row r="6276" spans="2:2">
      <c r="B6276"/>
    </row>
    <row r="6277" spans="2:2">
      <c r="B6277"/>
    </row>
    <row r="6278" spans="2:2">
      <c r="B6278"/>
    </row>
    <row r="6279" spans="2:2">
      <c r="B6279"/>
    </row>
    <row r="6280" spans="2:2">
      <c r="B6280"/>
    </row>
    <row r="6281" spans="2:2">
      <c r="B6281"/>
    </row>
    <row r="6282" spans="2:2">
      <c r="B6282"/>
    </row>
    <row r="6283" spans="2:2">
      <c r="B6283"/>
    </row>
    <row r="6284" spans="2:2">
      <c r="B6284"/>
    </row>
    <row r="6285" spans="2:2">
      <c r="B6285"/>
    </row>
    <row r="6286" spans="2:2">
      <c r="B6286"/>
    </row>
    <row r="6287" spans="2:2">
      <c r="B6287"/>
    </row>
    <row r="6288" spans="2:2">
      <c r="B6288"/>
    </row>
    <row r="6289" spans="2:2">
      <c r="B6289"/>
    </row>
    <row r="6290" spans="2:2">
      <c r="B6290"/>
    </row>
    <row r="6291" spans="2:2">
      <c r="B6291"/>
    </row>
    <row r="6292" spans="2:2">
      <c r="B6292"/>
    </row>
    <row r="6293" spans="2:2">
      <c r="B6293"/>
    </row>
    <row r="6294" spans="2:2">
      <c r="B6294"/>
    </row>
    <row r="6295" spans="2:2">
      <c r="B6295"/>
    </row>
    <row r="6296" spans="2:2">
      <c r="B6296"/>
    </row>
    <row r="6297" spans="2:2">
      <c r="B6297"/>
    </row>
    <row r="6298" spans="2:2">
      <c r="B6298"/>
    </row>
    <row r="6299" spans="2:2">
      <c r="B6299"/>
    </row>
    <row r="6300" spans="2:2">
      <c r="B6300"/>
    </row>
    <row r="6301" spans="2:2">
      <c r="B6301"/>
    </row>
    <row r="6302" spans="2:2">
      <c r="B6302"/>
    </row>
    <row r="6303" spans="2:2">
      <c r="B6303"/>
    </row>
    <row r="6304" spans="2:2">
      <c r="B6304"/>
    </row>
    <row r="6305" spans="2:2">
      <c r="B6305"/>
    </row>
    <row r="6306" spans="2:2">
      <c r="B6306"/>
    </row>
    <row r="6307" spans="2:2">
      <c r="B6307"/>
    </row>
    <row r="6308" spans="2:2">
      <c r="B6308"/>
    </row>
    <row r="6309" spans="2:2">
      <c r="B6309"/>
    </row>
    <row r="6310" spans="2:2">
      <c r="B6310"/>
    </row>
    <row r="6311" spans="2:2">
      <c r="B6311"/>
    </row>
    <row r="6312" spans="2:2">
      <c r="B6312"/>
    </row>
    <row r="6313" spans="2:2">
      <c r="B6313"/>
    </row>
    <row r="6314" spans="2:2">
      <c r="B6314"/>
    </row>
    <row r="6315" spans="2:2">
      <c r="B6315"/>
    </row>
    <row r="6316" spans="2:2">
      <c r="B6316"/>
    </row>
    <row r="6317" spans="2:2">
      <c r="B6317"/>
    </row>
    <row r="6318" spans="2:2">
      <c r="B6318"/>
    </row>
    <row r="6319" spans="2:2">
      <c r="B6319"/>
    </row>
    <row r="6320" spans="2:2">
      <c r="B6320"/>
    </row>
    <row r="6321" spans="2:2">
      <c r="B6321"/>
    </row>
    <row r="6322" spans="2:2">
      <c r="B6322"/>
    </row>
    <row r="6323" spans="2:2">
      <c r="B6323"/>
    </row>
    <row r="6324" spans="2:2">
      <c r="B6324"/>
    </row>
    <row r="6325" spans="2:2">
      <c r="B6325"/>
    </row>
    <row r="6326" spans="2:2">
      <c r="B6326"/>
    </row>
    <row r="6327" spans="2:2">
      <c r="B6327"/>
    </row>
    <row r="6328" spans="2:2">
      <c r="B6328"/>
    </row>
    <row r="6329" spans="2:2">
      <c r="B6329"/>
    </row>
    <row r="6330" spans="2:2">
      <c r="B6330"/>
    </row>
    <row r="6331" spans="2:2">
      <c r="B6331"/>
    </row>
    <row r="6332" spans="2:2">
      <c r="B6332"/>
    </row>
    <row r="6333" spans="2:2">
      <c r="B6333"/>
    </row>
    <row r="6334" spans="2:2">
      <c r="B6334"/>
    </row>
    <row r="6335" spans="2:2">
      <c r="B6335"/>
    </row>
    <row r="6336" spans="2:2">
      <c r="B6336"/>
    </row>
    <row r="6337" spans="2:2">
      <c r="B6337"/>
    </row>
    <row r="6338" spans="2:2">
      <c r="B6338"/>
    </row>
    <row r="6339" spans="2:2">
      <c r="B6339"/>
    </row>
    <row r="6340" spans="2:2">
      <c r="B6340"/>
    </row>
    <row r="6341" spans="2:2">
      <c r="B6341"/>
    </row>
    <row r="6342" spans="2:2">
      <c r="B6342"/>
    </row>
    <row r="6343" spans="2:2">
      <c r="B6343"/>
    </row>
    <row r="6344" spans="2:2">
      <c r="B6344"/>
    </row>
    <row r="6345" spans="2:2">
      <c r="B6345"/>
    </row>
    <row r="6346" spans="2:2">
      <c r="B6346"/>
    </row>
    <row r="6347" spans="2:2">
      <c r="B6347"/>
    </row>
    <row r="6348" spans="2:2">
      <c r="B6348"/>
    </row>
    <row r="6349" spans="2:2">
      <c r="B6349"/>
    </row>
    <row r="6350" spans="2:2">
      <c r="B6350"/>
    </row>
    <row r="6351" spans="2:2">
      <c r="B6351"/>
    </row>
    <row r="6352" spans="2:2">
      <c r="B6352"/>
    </row>
    <row r="6353" spans="2:2">
      <c r="B6353"/>
    </row>
    <row r="6354" spans="2:2">
      <c r="B6354"/>
    </row>
    <row r="6355" spans="2:2">
      <c r="B6355"/>
    </row>
    <row r="6356" spans="2:2">
      <c r="B6356"/>
    </row>
    <row r="6357" spans="2:2">
      <c r="B6357"/>
    </row>
    <row r="6358" spans="2:2">
      <c r="B6358"/>
    </row>
    <row r="6359" spans="2:2">
      <c r="B6359"/>
    </row>
    <row r="6360" spans="2:2">
      <c r="B6360"/>
    </row>
    <row r="6361" spans="2:2">
      <c r="B6361"/>
    </row>
    <row r="6362" spans="2:2">
      <c r="B6362"/>
    </row>
    <row r="6363" spans="2:2">
      <c r="B6363"/>
    </row>
    <row r="6364" spans="2:2">
      <c r="B6364"/>
    </row>
    <row r="6365" spans="2:2">
      <c r="B6365"/>
    </row>
    <row r="6366" spans="2:2">
      <c r="B6366"/>
    </row>
    <row r="6367" spans="2:2">
      <c r="B6367"/>
    </row>
    <row r="6368" spans="2:2">
      <c r="B6368"/>
    </row>
    <row r="6369" spans="2:2">
      <c r="B6369"/>
    </row>
    <row r="6370" spans="2:2">
      <c r="B6370"/>
    </row>
    <row r="6371" spans="2:2">
      <c r="B6371"/>
    </row>
    <row r="6372" spans="2:2">
      <c r="B6372"/>
    </row>
    <row r="6373" spans="2:2">
      <c r="B6373"/>
    </row>
    <row r="6374" spans="2:2">
      <c r="B6374"/>
    </row>
    <row r="6375" spans="2:2">
      <c r="B6375"/>
    </row>
    <row r="6376" spans="2:2">
      <c r="B6376"/>
    </row>
    <row r="6377" spans="2:2">
      <c r="B6377"/>
    </row>
    <row r="6378" spans="2:2">
      <c r="B6378"/>
    </row>
    <row r="6379" spans="2:2">
      <c r="B6379"/>
    </row>
    <row r="6380" spans="2:2">
      <c r="B6380"/>
    </row>
    <row r="6381" spans="2:2">
      <c r="B6381"/>
    </row>
    <row r="6382" spans="2:2">
      <c r="B6382"/>
    </row>
    <row r="6383" spans="2:2">
      <c r="B6383"/>
    </row>
    <row r="6384" spans="2:2">
      <c r="B6384"/>
    </row>
    <row r="6385" spans="2:2">
      <c r="B6385"/>
    </row>
    <row r="6386" spans="2:2">
      <c r="B6386"/>
    </row>
    <row r="6387" spans="2:2">
      <c r="B6387"/>
    </row>
    <row r="6388" spans="2:2">
      <c r="B6388"/>
    </row>
    <row r="6389" spans="2:2">
      <c r="B6389"/>
    </row>
    <row r="6390" spans="2:2">
      <c r="B6390"/>
    </row>
    <row r="6391" spans="2:2">
      <c r="B6391"/>
    </row>
    <row r="6392" spans="2:2">
      <c r="B6392"/>
    </row>
    <row r="6393" spans="2:2">
      <c r="B6393"/>
    </row>
    <row r="6394" spans="2:2">
      <c r="B6394"/>
    </row>
    <row r="6395" spans="2:2">
      <c r="B6395"/>
    </row>
    <row r="6396" spans="2:2">
      <c r="B6396"/>
    </row>
    <row r="6397" spans="2:2">
      <c r="B6397"/>
    </row>
    <row r="6398" spans="2:2">
      <c r="B6398"/>
    </row>
    <row r="6399" spans="2:2">
      <c r="B6399"/>
    </row>
    <row r="6400" spans="2:2">
      <c r="B6400"/>
    </row>
    <row r="6401" spans="2:2">
      <c r="B6401"/>
    </row>
    <row r="6402" spans="2:2">
      <c r="B6402"/>
    </row>
    <row r="6403" spans="2:2">
      <c r="B6403"/>
    </row>
    <row r="6404" spans="2:2">
      <c r="B6404"/>
    </row>
    <row r="6405" spans="2:2">
      <c r="B6405"/>
    </row>
    <row r="6406" spans="2:2">
      <c r="B6406"/>
    </row>
    <row r="6407" spans="2:2">
      <c r="B6407"/>
    </row>
    <row r="6408" spans="2:2">
      <c r="B6408"/>
    </row>
    <row r="6409" spans="2:2">
      <c r="B6409"/>
    </row>
    <row r="6410" spans="2:2">
      <c r="B6410"/>
    </row>
    <row r="6411" spans="2:2">
      <c r="B6411"/>
    </row>
    <row r="6412" spans="2:2">
      <c r="B6412"/>
    </row>
    <row r="6413" spans="2:2">
      <c r="B6413"/>
    </row>
    <row r="6414" spans="2:2">
      <c r="B6414"/>
    </row>
    <row r="6415" spans="2:2">
      <c r="B6415"/>
    </row>
    <row r="6416" spans="2:2">
      <c r="B6416"/>
    </row>
    <row r="6417" spans="2:2">
      <c r="B6417"/>
    </row>
    <row r="6418" spans="2:2">
      <c r="B6418"/>
    </row>
    <row r="6419" spans="2:2">
      <c r="B6419"/>
    </row>
    <row r="6420" spans="2:2">
      <c r="B6420"/>
    </row>
    <row r="6421" spans="2:2">
      <c r="B6421"/>
    </row>
    <row r="6422" spans="2:2">
      <c r="B6422"/>
    </row>
    <row r="6423" spans="2:2">
      <c r="B6423"/>
    </row>
    <row r="6424" spans="2:2">
      <c r="B6424"/>
    </row>
    <row r="6425" spans="2:2">
      <c r="B6425"/>
    </row>
    <row r="6426" spans="2:2">
      <c r="B6426"/>
    </row>
    <row r="6427" spans="2:2">
      <c r="B6427"/>
    </row>
    <row r="6428" spans="2:2">
      <c r="B6428"/>
    </row>
    <row r="6429" spans="2:2">
      <c r="B6429"/>
    </row>
    <row r="6430" spans="2:2">
      <c r="B6430"/>
    </row>
    <row r="6431" spans="2:2">
      <c r="B6431"/>
    </row>
    <row r="6432" spans="2:2">
      <c r="B6432"/>
    </row>
    <row r="6433" spans="2:2">
      <c r="B6433"/>
    </row>
    <row r="6434" spans="2:2">
      <c r="B6434"/>
    </row>
    <row r="6435" spans="2:2">
      <c r="B6435"/>
    </row>
    <row r="6436" spans="2:2">
      <c r="B6436"/>
    </row>
    <row r="6437" spans="2:2">
      <c r="B6437"/>
    </row>
    <row r="6438" spans="2:2">
      <c r="B6438"/>
    </row>
    <row r="6439" spans="2:2">
      <c r="B6439"/>
    </row>
    <row r="6440" spans="2:2">
      <c r="B6440"/>
    </row>
    <row r="6441" spans="2:2">
      <c r="B6441"/>
    </row>
    <row r="6442" spans="2:2">
      <c r="B6442"/>
    </row>
    <row r="6443" spans="2:2">
      <c r="B6443"/>
    </row>
    <row r="6444" spans="2:2">
      <c r="B6444"/>
    </row>
    <row r="6445" spans="2:2">
      <c r="B6445"/>
    </row>
    <row r="6446" spans="2:2">
      <c r="B6446"/>
    </row>
    <row r="6447" spans="2:2">
      <c r="B6447"/>
    </row>
    <row r="6448" spans="2:2">
      <c r="B6448"/>
    </row>
    <row r="6449" spans="2:2">
      <c r="B6449"/>
    </row>
    <row r="6450" spans="2:2">
      <c r="B6450"/>
    </row>
    <row r="6451" spans="2:2">
      <c r="B6451"/>
    </row>
    <row r="6452" spans="2:2">
      <c r="B6452"/>
    </row>
    <row r="6453" spans="2:2">
      <c r="B6453"/>
    </row>
    <row r="6454" spans="2:2">
      <c r="B6454"/>
    </row>
    <row r="6455" spans="2:2">
      <c r="B6455"/>
    </row>
    <row r="6456" spans="2:2">
      <c r="B6456"/>
    </row>
    <row r="6457" spans="2:2">
      <c r="B6457"/>
    </row>
    <row r="6458" spans="2:2">
      <c r="B6458"/>
    </row>
    <row r="6459" spans="2:2">
      <c r="B6459"/>
    </row>
    <row r="6460" spans="2:2">
      <c r="B6460"/>
    </row>
    <row r="6461" spans="2:2">
      <c r="B6461"/>
    </row>
    <row r="6462" spans="2:2">
      <c r="B6462"/>
    </row>
    <row r="6463" spans="2:2">
      <c r="B6463"/>
    </row>
    <row r="6464" spans="2:2">
      <c r="B6464"/>
    </row>
    <row r="6465" spans="2:2">
      <c r="B6465"/>
    </row>
    <row r="6466" spans="2:2">
      <c r="B6466"/>
    </row>
    <row r="6467" spans="2:2">
      <c r="B6467"/>
    </row>
    <row r="6468" spans="2:2">
      <c r="B6468"/>
    </row>
    <row r="6469" spans="2:2">
      <c r="B6469"/>
    </row>
    <row r="6470" spans="2:2">
      <c r="B6470"/>
    </row>
    <row r="6471" spans="2:2">
      <c r="B6471"/>
    </row>
    <row r="6472" spans="2:2">
      <c r="B6472"/>
    </row>
    <row r="6473" spans="2:2">
      <c r="B6473"/>
    </row>
    <row r="6474" spans="2:2">
      <c r="B6474"/>
    </row>
    <row r="6475" spans="2:2">
      <c r="B6475"/>
    </row>
    <row r="6476" spans="2:2">
      <c r="B6476"/>
    </row>
    <row r="6477" spans="2:2">
      <c r="B6477"/>
    </row>
    <row r="6478" spans="2:2">
      <c r="B6478"/>
    </row>
    <row r="6479" spans="2:2">
      <c r="B6479"/>
    </row>
    <row r="6480" spans="2:2">
      <c r="B6480"/>
    </row>
    <row r="6481" spans="2:2">
      <c r="B6481"/>
    </row>
    <row r="6482" spans="2:2">
      <c r="B6482"/>
    </row>
    <row r="6483" spans="2:2">
      <c r="B6483"/>
    </row>
    <row r="6484" spans="2:2">
      <c r="B6484"/>
    </row>
    <row r="6485" spans="2:2">
      <c r="B6485"/>
    </row>
    <row r="6486" spans="2:2">
      <c r="B6486"/>
    </row>
    <row r="6487" spans="2:2">
      <c r="B6487"/>
    </row>
    <row r="6488" spans="2:2">
      <c r="B6488"/>
    </row>
    <row r="6489" spans="2:2">
      <c r="B6489"/>
    </row>
    <row r="6490" spans="2:2">
      <c r="B6490"/>
    </row>
    <row r="6491" spans="2:2">
      <c r="B6491"/>
    </row>
    <row r="6492" spans="2:2">
      <c r="B6492"/>
    </row>
    <row r="6493" spans="2:2">
      <c r="B6493"/>
    </row>
    <row r="6494" spans="2:2">
      <c r="B6494"/>
    </row>
    <row r="6495" spans="2:2">
      <c r="B6495"/>
    </row>
    <row r="6496" spans="2:2">
      <c r="B6496"/>
    </row>
    <row r="6497" spans="2:2">
      <c r="B6497"/>
    </row>
    <row r="6498" spans="2:2">
      <c r="B6498"/>
    </row>
    <row r="6499" spans="2:2">
      <c r="B6499"/>
    </row>
    <row r="6500" spans="2:2">
      <c r="B6500"/>
    </row>
    <row r="6501" spans="2:2">
      <c r="B6501"/>
    </row>
    <row r="6502" spans="2:2">
      <c r="B6502"/>
    </row>
    <row r="6503" spans="2:2">
      <c r="B6503"/>
    </row>
    <row r="6504" spans="2:2">
      <c r="B6504"/>
    </row>
    <row r="6505" spans="2:2">
      <c r="B6505"/>
    </row>
    <row r="6506" spans="2:2">
      <c r="B6506"/>
    </row>
    <row r="6507" spans="2:2">
      <c r="B6507"/>
    </row>
    <row r="6508" spans="2:2">
      <c r="B6508"/>
    </row>
    <row r="6509" spans="2:2">
      <c r="B6509"/>
    </row>
    <row r="6510" spans="2:2">
      <c r="B6510"/>
    </row>
    <row r="6511" spans="2:2">
      <c r="B6511"/>
    </row>
    <row r="6512" spans="2:2">
      <c r="B6512"/>
    </row>
    <row r="6513" spans="2:2">
      <c r="B6513"/>
    </row>
    <row r="6514" spans="2:2">
      <c r="B6514"/>
    </row>
    <row r="6515" spans="2:2">
      <c r="B6515"/>
    </row>
    <row r="6516" spans="2:2">
      <c r="B6516"/>
    </row>
    <row r="6517" spans="2:2">
      <c r="B6517"/>
    </row>
    <row r="6518" spans="2:2">
      <c r="B6518"/>
    </row>
    <row r="6519" spans="2:2">
      <c r="B6519"/>
    </row>
    <row r="6520" spans="2:2">
      <c r="B6520"/>
    </row>
    <row r="6521" spans="2:2">
      <c r="B6521"/>
    </row>
    <row r="6522" spans="2:2">
      <c r="B6522"/>
    </row>
    <row r="6523" spans="2:2">
      <c r="B6523"/>
    </row>
    <row r="6524" spans="2:2">
      <c r="B6524"/>
    </row>
    <row r="6525" spans="2:2">
      <c r="B6525"/>
    </row>
    <row r="6526" spans="2:2">
      <c r="B6526"/>
    </row>
    <row r="6527" spans="2:2">
      <c r="B6527"/>
    </row>
    <row r="6528" spans="2:2">
      <c r="B6528"/>
    </row>
    <row r="6529" spans="2:2">
      <c r="B6529"/>
    </row>
    <row r="6530" spans="2:2">
      <c r="B6530"/>
    </row>
    <row r="6531" spans="2:2">
      <c r="B6531"/>
    </row>
    <row r="6532" spans="2:2">
      <c r="B6532"/>
    </row>
    <row r="6533" spans="2:2">
      <c r="B6533"/>
    </row>
    <row r="6534" spans="2:2">
      <c r="B6534"/>
    </row>
    <row r="6535" spans="2:2">
      <c r="B6535"/>
    </row>
    <row r="6536" spans="2:2">
      <c r="B6536"/>
    </row>
    <row r="6537" spans="2:2">
      <c r="B6537"/>
    </row>
    <row r="6538" spans="2:2">
      <c r="B6538"/>
    </row>
    <row r="6539" spans="2:2">
      <c r="B6539"/>
    </row>
    <row r="6540" spans="2:2">
      <c r="B6540"/>
    </row>
    <row r="6541" spans="2:2">
      <c r="B6541"/>
    </row>
    <row r="6542" spans="2:2">
      <c r="B6542"/>
    </row>
    <row r="6543" spans="2:2">
      <c r="B6543"/>
    </row>
    <row r="6544" spans="2:2">
      <c r="B6544"/>
    </row>
    <row r="6545" spans="2:2">
      <c r="B6545"/>
    </row>
    <row r="6546" spans="2:2">
      <c r="B6546"/>
    </row>
    <row r="6547" spans="2:2">
      <c r="B6547"/>
    </row>
    <row r="6548" spans="2:2">
      <c r="B6548"/>
    </row>
    <row r="6549" spans="2:2">
      <c r="B6549"/>
    </row>
    <row r="6550" spans="2:2">
      <c r="B6550"/>
    </row>
    <row r="6551" spans="2:2">
      <c r="B6551"/>
    </row>
    <row r="6552" spans="2:2">
      <c r="B6552"/>
    </row>
    <row r="6553" spans="2:2">
      <c r="B6553"/>
    </row>
    <row r="6554" spans="2:2">
      <c r="B6554"/>
    </row>
    <row r="6555" spans="2:2">
      <c r="B6555"/>
    </row>
    <row r="6556" spans="2:2">
      <c r="B6556"/>
    </row>
    <row r="6557" spans="2:2">
      <c r="B6557"/>
    </row>
    <row r="6558" spans="2:2">
      <c r="B6558"/>
    </row>
    <row r="6559" spans="2:2">
      <c r="B6559"/>
    </row>
    <row r="6560" spans="2:2">
      <c r="B6560"/>
    </row>
    <row r="6561" spans="2:2">
      <c r="B6561"/>
    </row>
    <row r="6562" spans="2:2">
      <c r="B6562"/>
    </row>
    <row r="6563" spans="2:2">
      <c r="B6563"/>
    </row>
    <row r="6564" spans="2:2">
      <c r="B6564"/>
    </row>
    <row r="6565" spans="2:2">
      <c r="B6565"/>
    </row>
    <row r="6566" spans="2:2">
      <c r="B6566"/>
    </row>
    <row r="6567" spans="2:2">
      <c r="B6567"/>
    </row>
    <row r="6568" spans="2:2">
      <c r="B6568"/>
    </row>
    <row r="6569" spans="2:2">
      <c r="B6569"/>
    </row>
    <row r="6570" spans="2:2">
      <c r="B6570"/>
    </row>
    <row r="6571" spans="2:2">
      <c r="B6571"/>
    </row>
    <row r="6572" spans="2:2">
      <c r="B6572"/>
    </row>
    <row r="6573" spans="2:2">
      <c r="B6573"/>
    </row>
    <row r="6574" spans="2:2">
      <c r="B6574"/>
    </row>
    <row r="6575" spans="2:2">
      <c r="B6575"/>
    </row>
    <row r="6576" spans="2:2">
      <c r="B6576"/>
    </row>
    <row r="6577" spans="2:2">
      <c r="B6577"/>
    </row>
    <row r="6578" spans="2:2">
      <c r="B6578"/>
    </row>
    <row r="6579" spans="2:2">
      <c r="B6579"/>
    </row>
    <row r="6580" spans="2:2">
      <c r="B6580"/>
    </row>
    <row r="6581" spans="2:2">
      <c r="B6581"/>
    </row>
    <row r="6582" spans="2:2">
      <c r="B6582"/>
    </row>
    <row r="6583" spans="2:2">
      <c r="B6583"/>
    </row>
    <row r="6584" spans="2:2">
      <c r="B6584"/>
    </row>
    <row r="6585" spans="2:2">
      <c r="B6585"/>
    </row>
    <row r="6586" spans="2:2">
      <c r="B6586"/>
    </row>
    <row r="6587" spans="2:2">
      <c r="B6587"/>
    </row>
    <row r="6588" spans="2:2">
      <c r="B6588"/>
    </row>
    <row r="6589" spans="2:2">
      <c r="B6589"/>
    </row>
    <row r="6590" spans="2:2">
      <c r="B6590"/>
    </row>
    <row r="6591" spans="2:2">
      <c r="B6591"/>
    </row>
    <row r="6592" spans="2:2">
      <c r="B6592"/>
    </row>
    <row r="6593" spans="2:2">
      <c r="B6593"/>
    </row>
    <row r="6594" spans="2:2">
      <c r="B6594"/>
    </row>
    <row r="6595" spans="2:2">
      <c r="B6595"/>
    </row>
    <row r="6596" spans="2:2">
      <c r="B6596"/>
    </row>
    <row r="6597" spans="2:2">
      <c r="B6597"/>
    </row>
    <row r="6598" spans="2:2">
      <c r="B6598"/>
    </row>
    <row r="6599" spans="2:2">
      <c r="B6599"/>
    </row>
    <row r="6600" spans="2:2">
      <c r="B6600"/>
    </row>
    <row r="6601" spans="2:2">
      <c r="B6601"/>
    </row>
    <row r="6602" spans="2:2">
      <c r="B6602"/>
    </row>
    <row r="6603" spans="2:2">
      <c r="B6603"/>
    </row>
    <row r="6604" spans="2:2">
      <c r="B6604"/>
    </row>
    <row r="6605" spans="2:2">
      <c r="B6605"/>
    </row>
    <row r="6606" spans="2:2">
      <c r="B6606"/>
    </row>
    <row r="6607" spans="2:2">
      <c r="B6607"/>
    </row>
    <row r="6608" spans="2:2">
      <c r="B6608"/>
    </row>
    <row r="6609" spans="2:2">
      <c r="B6609"/>
    </row>
    <row r="6610" spans="2:2">
      <c r="B6610"/>
    </row>
    <row r="6611" spans="2:2">
      <c r="B6611"/>
    </row>
    <row r="6612" spans="2:2">
      <c r="B6612"/>
    </row>
    <row r="6613" spans="2:2">
      <c r="B6613"/>
    </row>
    <row r="6614" spans="2:2">
      <c r="B6614"/>
    </row>
    <row r="6615" spans="2:2">
      <c r="B6615"/>
    </row>
    <row r="6616" spans="2:2">
      <c r="B6616"/>
    </row>
    <row r="6617" spans="2:2">
      <c r="B6617"/>
    </row>
    <row r="6618" spans="2:2">
      <c r="B6618"/>
    </row>
    <row r="6619" spans="2:2">
      <c r="B6619"/>
    </row>
    <row r="6620" spans="2:2">
      <c r="B6620"/>
    </row>
    <row r="6621" spans="2:2">
      <c r="B6621"/>
    </row>
    <row r="6622" spans="2:2">
      <c r="B6622"/>
    </row>
    <row r="6623" spans="2:2">
      <c r="B6623"/>
    </row>
    <row r="6624" spans="2:2">
      <c r="B6624"/>
    </row>
    <row r="6625" spans="2:2">
      <c r="B6625"/>
    </row>
    <row r="6626" spans="2:2">
      <c r="B6626"/>
    </row>
    <row r="6627" spans="2:2">
      <c r="B6627"/>
    </row>
    <row r="6628" spans="2:2">
      <c r="B6628"/>
    </row>
    <row r="6629" spans="2:2">
      <c r="B6629"/>
    </row>
    <row r="6630" spans="2:2">
      <c r="B6630"/>
    </row>
    <row r="6631" spans="2:2">
      <c r="B6631"/>
    </row>
    <row r="6632" spans="2:2">
      <c r="B6632"/>
    </row>
    <row r="6633" spans="2:2">
      <c r="B6633"/>
    </row>
    <row r="6634" spans="2:2">
      <c r="B6634"/>
    </row>
    <row r="6635" spans="2:2">
      <c r="B6635"/>
    </row>
    <row r="6636" spans="2:2">
      <c r="B6636"/>
    </row>
    <row r="6637" spans="2:2">
      <c r="B6637"/>
    </row>
    <row r="6638" spans="2:2">
      <c r="B6638"/>
    </row>
    <row r="6639" spans="2:2">
      <c r="B6639"/>
    </row>
    <row r="6640" spans="2:2">
      <c r="B6640"/>
    </row>
    <row r="6641" spans="2:2">
      <c r="B6641"/>
    </row>
    <row r="6642" spans="2:2">
      <c r="B6642"/>
    </row>
    <row r="6643" spans="2:2">
      <c r="B6643"/>
    </row>
    <row r="6644" spans="2:2">
      <c r="B6644"/>
    </row>
    <row r="6645" spans="2:2">
      <c r="B6645"/>
    </row>
    <row r="6646" spans="2:2">
      <c r="B6646"/>
    </row>
    <row r="6647" spans="2:2">
      <c r="B6647"/>
    </row>
    <row r="6648" spans="2:2">
      <c r="B6648"/>
    </row>
    <row r="6649" spans="2:2">
      <c r="B6649"/>
    </row>
    <row r="6650" spans="2:2">
      <c r="B6650"/>
    </row>
    <row r="6651" spans="2:2">
      <c r="B6651"/>
    </row>
    <row r="6652" spans="2:2">
      <c r="B6652"/>
    </row>
    <row r="6653" spans="2:2">
      <c r="B6653"/>
    </row>
    <row r="6654" spans="2:2">
      <c r="B6654"/>
    </row>
    <row r="6655" spans="2:2">
      <c r="B6655"/>
    </row>
    <row r="6656" spans="2:2">
      <c r="B6656"/>
    </row>
    <row r="6657" spans="2:2">
      <c r="B6657"/>
    </row>
    <row r="6658" spans="2:2">
      <c r="B6658"/>
    </row>
    <row r="6659" spans="2:2">
      <c r="B6659"/>
    </row>
    <row r="6660" spans="2:2">
      <c r="B6660"/>
    </row>
    <row r="6661" spans="2:2">
      <c r="B6661"/>
    </row>
    <row r="6662" spans="2:2">
      <c r="B6662"/>
    </row>
    <row r="6663" spans="2:2">
      <c r="B6663"/>
    </row>
    <row r="6664" spans="2:2">
      <c r="B6664"/>
    </row>
    <row r="6665" spans="2:2">
      <c r="B6665"/>
    </row>
    <row r="6666" spans="2:2">
      <c r="B6666"/>
    </row>
    <row r="6667" spans="2:2">
      <c r="B6667"/>
    </row>
    <row r="6668" spans="2:2">
      <c r="B6668"/>
    </row>
    <row r="6669" spans="2:2">
      <c r="B6669"/>
    </row>
    <row r="6670" spans="2:2">
      <c r="B6670"/>
    </row>
    <row r="6671" spans="2:2">
      <c r="B6671"/>
    </row>
    <row r="6672" spans="2:2">
      <c r="B6672"/>
    </row>
    <row r="6673" spans="2:2">
      <c r="B6673"/>
    </row>
    <row r="6674" spans="2:2">
      <c r="B6674"/>
    </row>
    <row r="6675" spans="2:2">
      <c r="B6675"/>
    </row>
    <row r="6676" spans="2:2">
      <c r="B6676"/>
    </row>
    <row r="6677" spans="2:2">
      <c r="B6677"/>
    </row>
    <row r="6678" spans="2:2">
      <c r="B6678"/>
    </row>
    <row r="6679" spans="2:2">
      <c r="B6679"/>
    </row>
    <row r="6680" spans="2:2">
      <c r="B6680"/>
    </row>
    <row r="6681" spans="2:2">
      <c r="B6681"/>
    </row>
    <row r="6682" spans="2:2">
      <c r="B6682"/>
    </row>
    <row r="6683" spans="2:2">
      <c r="B6683"/>
    </row>
    <row r="6684" spans="2:2">
      <c r="B6684"/>
    </row>
    <row r="6685" spans="2:2">
      <c r="B6685"/>
    </row>
    <row r="6686" spans="2:2">
      <c r="B6686"/>
    </row>
    <row r="6687" spans="2:2">
      <c r="B6687"/>
    </row>
    <row r="6688" spans="2:2">
      <c r="B6688"/>
    </row>
    <row r="6689" spans="2:2">
      <c r="B6689"/>
    </row>
    <row r="6690" spans="2:2">
      <c r="B6690"/>
    </row>
    <row r="6691" spans="2:2">
      <c r="B6691"/>
    </row>
    <row r="6692" spans="2:2">
      <c r="B6692"/>
    </row>
    <row r="6693" spans="2:2">
      <c r="B6693"/>
    </row>
    <row r="6694" spans="2:2">
      <c r="B6694"/>
    </row>
    <row r="6695" spans="2:2">
      <c r="B6695"/>
    </row>
    <row r="6696" spans="2:2">
      <c r="B6696"/>
    </row>
    <row r="6697" spans="2:2">
      <c r="B6697"/>
    </row>
    <row r="6698" spans="2:2">
      <c r="B6698"/>
    </row>
    <row r="6699" spans="2:2">
      <c r="B6699"/>
    </row>
    <row r="6700" spans="2:2">
      <c r="B6700"/>
    </row>
    <row r="6701" spans="2:2">
      <c r="B6701"/>
    </row>
    <row r="6702" spans="2:2">
      <c r="B6702"/>
    </row>
    <row r="6703" spans="2:2">
      <c r="B6703"/>
    </row>
    <row r="6704" spans="2:2">
      <c r="B6704"/>
    </row>
    <row r="6705" spans="2:2">
      <c r="B6705"/>
    </row>
    <row r="6706" spans="2:2">
      <c r="B6706"/>
    </row>
    <row r="6707" spans="2:2">
      <c r="B6707"/>
    </row>
    <row r="6708" spans="2:2">
      <c r="B6708"/>
    </row>
    <row r="6709" spans="2:2">
      <c r="B6709"/>
    </row>
    <row r="6710" spans="2:2">
      <c r="B6710"/>
    </row>
    <row r="6711" spans="2:2">
      <c r="B6711"/>
    </row>
    <row r="6712" spans="2:2">
      <c r="B6712"/>
    </row>
    <row r="6713" spans="2:2">
      <c r="B6713"/>
    </row>
    <row r="6714" spans="2:2">
      <c r="B6714"/>
    </row>
    <row r="6715" spans="2:2">
      <c r="B6715"/>
    </row>
    <row r="6716" spans="2:2">
      <c r="B6716"/>
    </row>
    <row r="6717" spans="2:2">
      <c r="B6717"/>
    </row>
    <row r="6718" spans="2:2">
      <c r="B6718"/>
    </row>
    <row r="6719" spans="2:2">
      <c r="B6719"/>
    </row>
    <row r="6720" spans="2:2">
      <c r="B6720"/>
    </row>
    <row r="6721" spans="2:2">
      <c r="B6721"/>
    </row>
    <row r="6722" spans="2:2">
      <c r="B6722"/>
    </row>
    <row r="6723" spans="2:2">
      <c r="B6723"/>
    </row>
    <row r="6724" spans="2:2">
      <c r="B6724"/>
    </row>
    <row r="6725" spans="2:2">
      <c r="B6725"/>
    </row>
    <row r="6726" spans="2:2">
      <c r="B6726"/>
    </row>
    <row r="6727" spans="2:2">
      <c r="B6727"/>
    </row>
    <row r="6728" spans="2:2">
      <c r="B6728"/>
    </row>
    <row r="6729" spans="2:2">
      <c r="B6729"/>
    </row>
    <row r="6730" spans="2:2">
      <c r="B6730"/>
    </row>
    <row r="6731" spans="2:2">
      <c r="B6731"/>
    </row>
    <row r="6732" spans="2:2">
      <c r="B6732"/>
    </row>
    <row r="6733" spans="2:2">
      <c r="B6733"/>
    </row>
    <row r="6734" spans="2:2">
      <c r="B6734"/>
    </row>
    <row r="6735" spans="2:2">
      <c r="B6735"/>
    </row>
    <row r="6736" spans="2:2">
      <c r="B6736"/>
    </row>
    <row r="6737" spans="2:2">
      <c r="B6737"/>
    </row>
    <row r="6738" spans="2:2">
      <c r="B6738"/>
    </row>
    <row r="6739" spans="2:2">
      <c r="B6739"/>
    </row>
    <row r="6740" spans="2:2">
      <c r="B6740"/>
    </row>
    <row r="6741" spans="2:2">
      <c r="B6741"/>
    </row>
    <row r="6742" spans="2:2">
      <c r="B6742"/>
    </row>
    <row r="6743" spans="2:2">
      <c r="B6743"/>
    </row>
    <row r="6744" spans="2:2">
      <c r="B6744"/>
    </row>
    <row r="6745" spans="2:2">
      <c r="B6745"/>
    </row>
    <row r="6746" spans="2:2">
      <c r="B6746"/>
    </row>
    <row r="6747" spans="2:2">
      <c r="B6747"/>
    </row>
    <row r="6748" spans="2:2">
      <c r="B6748"/>
    </row>
    <row r="6749" spans="2:2">
      <c r="B6749"/>
    </row>
    <row r="6750" spans="2:2">
      <c r="B6750"/>
    </row>
    <row r="6751" spans="2:2">
      <c r="B6751"/>
    </row>
    <row r="6752" spans="2:2">
      <c r="B6752"/>
    </row>
    <row r="6753" spans="2:2">
      <c r="B6753"/>
    </row>
    <row r="6754" spans="2:2">
      <c r="B6754"/>
    </row>
    <row r="6755" spans="2:2">
      <c r="B6755"/>
    </row>
    <row r="6756" spans="2:2">
      <c r="B6756"/>
    </row>
    <row r="6757" spans="2:2">
      <c r="B6757"/>
    </row>
    <row r="6758" spans="2:2">
      <c r="B6758"/>
    </row>
    <row r="6759" spans="2:2">
      <c r="B6759"/>
    </row>
    <row r="6760" spans="2:2">
      <c r="B6760"/>
    </row>
    <row r="6761" spans="2:2">
      <c r="B6761"/>
    </row>
    <row r="6762" spans="2:2">
      <c r="B6762"/>
    </row>
    <row r="6763" spans="2:2">
      <c r="B6763"/>
    </row>
    <row r="6764" spans="2:2">
      <c r="B6764"/>
    </row>
    <row r="6765" spans="2:2">
      <c r="B6765"/>
    </row>
    <row r="6766" spans="2:2">
      <c r="B6766"/>
    </row>
    <row r="6767" spans="2:2">
      <c r="B6767"/>
    </row>
    <row r="6768" spans="2:2">
      <c r="B6768"/>
    </row>
    <row r="6769" spans="2:2">
      <c r="B6769"/>
    </row>
    <row r="6770" spans="2:2">
      <c r="B6770"/>
    </row>
    <row r="6771" spans="2:2">
      <c r="B6771"/>
    </row>
    <row r="6772" spans="2:2">
      <c r="B6772"/>
    </row>
    <row r="6773" spans="2:2">
      <c r="B6773"/>
    </row>
    <row r="6774" spans="2:2">
      <c r="B6774"/>
    </row>
    <row r="6775" spans="2:2">
      <c r="B6775"/>
    </row>
    <row r="6776" spans="2:2">
      <c r="B6776"/>
    </row>
    <row r="6777" spans="2:2">
      <c r="B6777"/>
    </row>
    <row r="6778" spans="2:2">
      <c r="B6778"/>
    </row>
    <row r="6779" spans="2:2">
      <c r="B6779"/>
    </row>
    <row r="6780" spans="2:2">
      <c r="B6780"/>
    </row>
    <row r="6781" spans="2:2">
      <c r="B6781"/>
    </row>
    <row r="6782" spans="2:2">
      <c r="B6782"/>
    </row>
    <row r="6783" spans="2:2">
      <c r="B6783"/>
    </row>
    <row r="6784" spans="2:2">
      <c r="B6784"/>
    </row>
    <row r="6785" spans="2:2">
      <c r="B6785"/>
    </row>
    <row r="6786" spans="2:2">
      <c r="B6786"/>
    </row>
    <row r="6787" spans="2:2">
      <c r="B6787"/>
    </row>
    <row r="6788" spans="2:2">
      <c r="B6788"/>
    </row>
    <row r="6789" spans="2:2">
      <c r="B6789"/>
    </row>
    <row r="6790" spans="2:2">
      <c r="B6790"/>
    </row>
    <row r="6791" spans="2:2">
      <c r="B6791"/>
    </row>
    <row r="6792" spans="2:2">
      <c r="B6792"/>
    </row>
    <row r="6793" spans="2:2">
      <c r="B6793"/>
    </row>
    <row r="6794" spans="2:2">
      <c r="B6794"/>
    </row>
    <row r="6795" spans="2:2">
      <c r="B6795"/>
    </row>
    <row r="6796" spans="2:2">
      <c r="B6796"/>
    </row>
    <row r="6797" spans="2:2">
      <c r="B6797"/>
    </row>
    <row r="6798" spans="2:2">
      <c r="B6798"/>
    </row>
    <row r="6799" spans="2:2">
      <c r="B6799"/>
    </row>
    <row r="6800" spans="2:2">
      <c r="B6800"/>
    </row>
    <row r="6801" spans="2:2">
      <c r="B6801"/>
    </row>
    <row r="6802" spans="2:2">
      <c r="B6802"/>
    </row>
    <row r="6803" spans="2:2">
      <c r="B6803"/>
    </row>
    <row r="6804" spans="2:2">
      <c r="B6804"/>
    </row>
    <row r="6805" spans="2:2">
      <c r="B6805"/>
    </row>
    <row r="6806" spans="2:2">
      <c r="B6806"/>
    </row>
    <row r="6807" spans="2:2">
      <c r="B6807"/>
    </row>
    <row r="6808" spans="2:2">
      <c r="B6808"/>
    </row>
    <row r="6809" spans="2:2">
      <c r="B6809"/>
    </row>
    <row r="6810" spans="2:2">
      <c r="B6810"/>
    </row>
    <row r="6811" spans="2:2">
      <c r="B6811"/>
    </row>
    <row r="6812" spans="2:2">
      <c r="B6812"/>
    </row>
    <row r="6813" spans="2:2">
      <c r="B6813"/>
    </row>
    <row r="6814" spans="2:2">
      <c r="B6814"/>
    </row>
    <row r="6815" spans="2:2">
      <c r="B6815"/>
    </row>
    <row r="6816" spans="2:2">
      <c r="B6816"/>
    </row>
    <row r="6817" spans="2:2">
      <c r="B6817"/>
    </row>
    <row r="6818" spans="2:2">
      <c r="B6818"/>
    </row>
    <row r="6819" spans="2:2">
      <c r="B6819"/>
    </row>
    <row r="6820" spans="2:2">
      <c r="B6820"/>
    </row>
    <row r="6821" spans="2:2">
      <c r="B6821"/>
    </row>
    <row r="6822" spans="2:2">
      <c r="B6822"/>
    </row>
    <row r="6823" spans="2:2">
      <c r="B6823"/>
    </row>
    <row r="6824" spans="2:2">
      <c r="B6824"/>
    </row>
    <row r="6825" spans="2:2">
      <c r="B6825"/>
    </row>
    <row r="6826" spans="2:2">
      <c r="B6826"/>
    </row>
    <row r="6827" spans="2:2">
      <c r="B6827"/>
    </row>
    <row r="6828" spans="2:2">
      <c r="B6828"/>
    </row>
    <row r="6829" spans="2:2">
      <c r="B6829"/>
    </row>
    <row r="6830" spans="2:2">
      <c r="B6830"/>
    </row>
    <row r="6831" spans="2:2">
      <c r="B6831"/>
    </row>
    <row r="6832" spans="2:2">
      <c r="B6832"/>
    </row>
    <row r="6833" spans="2:2">
      <c r="B6833"/>
    </row>
    <row r="6834" spans="2:2">
      <c r="B6834"/>
    </row>
    <row r="6835" spans="2:2">
      <c r="B6835"/>
    </row>
    <row r="6836" spans="2:2">
      <c r="B6836"/>
    </row>
    <row r="6837" spans="2:2">
      <c r="B6837"/>
    </row>
    <row r="6838" spans="2:2">
      <c r="B6838"/>
    </row>
    <row r="6839" spans="2:2">
      <c r="B6839"/>
    </row>
    <row r="6840" spans="2:2">
      <c r="B6840"/>
    </row>
    <row r="6841" spans="2:2">
      <c r="B6841"/>
    </row>
    <row r="6842" spans="2:2">
      <c r="B6842"/>
    </row>
    <row r="6843" spans="2:2">
      <c r="B6843"/>
    </row>
    <row r="6844" spans="2:2">
      <c r="B6844"/>
    </row>
    <row r="6845" spans="2:2">
      <c r="B6845"/>
    </row>
    <row r="6846" spans="2:2">
      <c r="B6846"/>
    </row>
    <row r="6847" spans="2:2">
      <c r="B6847"/>
    </row>
    <row r="6848" spans="2:2">
      <c r="B6848"/>
    </row>
    <row r="6849" spans="2:2">
      <c r="B6849"/>
    </row>
    <row r="6850" spans="2:2">
      <c r="B6850"/>
    </row>
    <row r="6851" spans="2:2">
      <c r="B6851"/>
    </row>
    <row r="6852" spans="2:2">
      <c r="B6852"/>
    </row>
    <row r="6853" spans="2:2">
      <c r="B6853"/>
    </row>
    <row r="6854" spans="2:2">
      <c r="B6854"/>
    </row>
    <row r="6855" spans="2:2">
      <c r="B6855"/>
    </row>
    <row r="6856" spans="2:2">
      <c r="B6856"/>
    </row>
    <row r="6857" spans="2:2">
      <c r="B6857"/>
    </row>
    <row r="6858" spans="2:2">
      <c r="B6858"/>
    </row>
    <row r="6859" spans="2:2">
      <c r="B6859"/>
    </row>
    <row r="6860" spans="2:2">
      <c r="B6860"/>
    </row>
    <row r="6861" spans="2:2">
      <c r="B6861"/>
    </row>
    <row r="6862" spans="2:2">
      <c r="B6862"/>
    </row>
    <row r="6863" spans="2:2">
      <c r="B6863"/>
    </row>
    <row r="6864" spans="2:2">
      <c r="B6864"/>
    </row>
    <row r="6865" spans="2:2">
      <c r="B6865"/>
    </row>
    <row r="6866" spans="2:2">
      <c r="B6866"/>
    </row>
    <row r="6867" spans="2:2">
      <c r="B6867"/>
    </row>
    <row r="6868" spans="2:2">
      <c r="B6868"/>
    </row>
    <row r="6869" spans="2:2">
      <c r="B6869"/>
    </row>
    <row r="6870" spans="2:2">
      <c r="B6870"/>
    </row>
    <row r="6871" spans="2:2">
      <c r="B6871"/>
    </row>
    <row r="6872" spans="2:2">
      <c r="B6872"/>
    </row>
    <row r="6873" spans="2:2">
      <c r="B6873"/>
    </row>
    <row r="6874" spans="2:2">
      <c r="B6874"/>
    </row>
    <row r="6875" spans="2:2">
      <c r="B6875"/>
    </row>
    <row r="6876" spans="2:2">
      <c r="B6876"/>
    </row>
    <row r="6877" spans="2:2">
      <c r="B6877"/>
    </row>
    <row r="6878" spans="2:2">
      <c r="B6878"/>
    </row>
    <row r="6879" spans="2:2">
      <c r="B6879"/>
    </row>
    <row r="6880" spans="2:2">
      <c r="B6880"/>
    </row>
    <row r="6881" spans="2:2">
      <c r="B6881"/>
    </row>
    <row r="6882" spans="2:2">
      <c r="B6882"/>
    </row>
    <row r="6883" spans="2:2">
      <c r="B6883"/>
    </row>
    <row r="6884" spans="2:2">
      <c r="B6884"/>
    </row>
    <row r="6885" spans="2:2">
      <c r="B6885"/>
    </row>
    <row r="6886" spans="2:2">
      <c r="B6886"/>
    </row>
    <row r="6887" spans="2:2">
      <c r="B6887"/>
    </row>
    <row r="6888" spans="2:2">
      <c r="B6888"/>
    </row>
    <row r="6889" spans="2:2">
      <c r="B6889"/>
    </row>
    <row r="6890" spans="2:2">
      <c r="B6890"/>
    </row>
    <row r="6891" spans="2:2">
      <c r="B6891"/>
    </row>
    <row r="6892" spans="2:2">
      <c r="B6892"/>
    </row>
    <row r="6893" spans="2:2">
      <c r="B6893"/>
    </row>
    <row r="6894" spans="2:2">
      <c r="B6894"/>
    </row>
    <row r="6895" spans="2:2">
      <c r="B6895"/>
    </row>
    <row r="6896" spans="2:2">
      <c r="B6896"/>
    </row>
    <row r="6897" spans="2:2">
      <c r="B6897"/>
    </row>
    <row r="6898" spans="2:2">
      <c r="B6898"/>
    </row>
    <row r="6899" spans="2:2">
      <c r="B6899"/>
    </row>
    <row r="6900" spans="2:2">
      <c r="B6900"/>
    </row>
    <row r="6901" spans="2:2">
      <c r="B6901"/>
    </row>
    <row r="6902" spans="2:2">
      <c r="B6902"/>
    </row>
    <row r="6903" spans="2:2">
      <c r="B6903"/>
    </row>
    <row r="6904" spans="2:2">
      <c r="B6904"/>
    </row>
    <row r="6905" spans="2:2">
      <c r="B6905"/>
    </row>
    <row r="6906" spans="2:2">
      <c r="B6906"/>
    </row>
    <row r="6907" spans="2:2">
      <c r="B6907"/>
    </row>
    <row r="6908" spans="2:2">
      <c r="B6908"/>
    </row>
    <row r="6909" spans="2:2">
      <c r="B6909"/>
    </row>
    <row r="6910" spans="2:2">
      <c r="B6910"/>
    </row>
    <row r="6911" spans="2:2">
      <c r="B6911"/>
    </row>
    <row r="6912" spans="2:2">
      <c r="B6912"/>
    </row>
    <row r="6913" spans="2:2">
      <c r="B6913"/>
    </row>
    <row r="6914" spans="2:2">
      <c r="B6914"/>
    </row>
    <row r="6915" spans="2:2">
      <c r="B6915"/>
    </row>
    <row r="6916" spans="2:2">
      <c r="B6916"/>
    </row>
    <row r="6917" spans="2:2">
      <c r="B6917"/>
    </row>
    <row r="6918" spans="2:2">
      <c r="B6918"/>
    </row>
    <row r="6919" spans="2:2">
      <c r="B6919"/>
    </row>
    <row r="6920" spans="2:2">
      <c r="B6920"/>
    </row>
    <row r="6921" spans="2:2">
      <c r="B6921"/>
    </row>
    <row r="6922" spans="2:2">
      <c r="B6922"/>
    </row>
    <row r="6923" spans="2:2">
      <c r="B6923"/>
    </row>
    <row r="6924" spans="2:2">
      <c r="B6924"/>
    </row>
    <row r="6925" spans="2:2">
      <c r="B6925"/>
    </row>
    <row r="6926" spans="2:2">
      <c r="B6926"/>
    </row>
    <row r="6927" spans="2:2">
      <c r="B6927"/>
    </row>
    <row r="6928" spans="2:2">
      <c r="B6928"/>
    </row>
    <row r="6929" spans="2:2">
      <c r="B6929"/>
    </row>
    <row r="6930" spans="2:2">
      <c r="B6930"/>
    </row>
    <row r="6931" spans="2:2">
      <c r="B6931"/>
    </row>
    <row r="6932" spans="2:2">
      <c r="B6932"/>
    </row>
    <row r="6933" spans="2:2">
      <c r="B6933"/>
    </row>
    <row r="6934" spans="2:2">
      <c r="B6934"/>
    </row>
    <row r="6935" spans="2:2">
      <c r="B6935"/>
    </row>
    <row r="6936" spans="2:2">
      <c r="B6936"/>
    </row>
    <row r="6937" spans="2:2">
      <c r="B6937"/>
    </row>
    <row r="6938" spans="2:2">
      <c r="B6938"/>
    </row>
    <row r="6939" spans="2:2">
      <c r="B6939"/>
    </row>
    <row r="6940" spans="2:2">
      <c r="B6940"/>
    </row>
    <row r="6941" spans="2:2">
      <c r="B6941"/>
    </row>
    <row r="6942" spans="2:2">
      <c r="B6942"/>
    </row>
    <row r="6943" spans="2:2">
      <c r="B6943"/>
    </row>
    <row r="6944" spans="2:2">
      <c r="B6944"/>
    </row>
    <row r="6945" spans="2:2">
      <c r="B6945"/>
    </row>
    <row r="6946" spans="2:2">
      <c r="B6946"/>
    </row>
    <row r="6947" spans="2:2">
      <c r="B6947"/>
    </row>
    <row r="6948" spans="2:2">
      <c r="B6948"/>
    </row>
    <row r="6949" spans="2:2">
      <c r="B6949"/>
    </row>
    <row r="6950" spans="2:2">
      <c r="B6950"/>
    </row>
    <row r="6951" spans="2:2">
      <c r="B6951"/>
    </row>
    <row r="6952" spans="2:2">
      <c r="B6952"/>
    </row>
    <row r="6953" spans="2:2">
      <c r="B6953"/>
    </row>
    <row r="6954" spans="2:2">
      <c r="B6954"/>
    </row>
    <row r="6955" spans="2:2">
      <c r="B6955"/>
    </row>
    <row r="6956" spans="2:2">
      <c r="B6956"/>
    </row>
    <row r="6957" spans="2:2">
      <c r="B6957"/>
    </row>
    <row r="6958" spans="2:2">
      <c r="B6958"/>
    </row>
    <row r="6959" spans="2:2">
      <c r="B6959"/>
    </row>
    <row r="6960" spans="2:2">
      <c r="B6960"/>
    </row>
    <row r="6961" spans="2:2">
      <c r="B6961"/>
    </row>
    <row r="6962" spans="2:2">
      <c r="B6962"/>
    </row>
    <row r="6963" spans="2:2">
      <c r="B6963"/>
    </row>
    <row r="6964" spans="2:2">
      <c r="B6964"/>
    </row>
    <row r="6965" spans="2:2">
      <c r="B6965"/>
    </row>
    <row r="6966" spans="2:2">
      <c r="B6966"/>
    </row>
    <row r="6967" spans="2:2">
      <c r="B6967"/>
    </row>
    <row r="6968" spans="2:2">
      <c r="B6968"/>
    </row>
    <row r="6969" spans="2:2">
      <c r="B6969"/>
    </row>
    <row r="6970" spans="2:2">
      <c r="B6970"/>
    </row>
    <row r="6971" spans="2:2">
      <c r="B6971"/>
    </row>
    <row r="6972" spans="2:2">
      <c r="B6972"/>
    </row>
    <row r="6973" spans="2:2">
      <c r="B6973"/>
    </row>
    <row r="6974" spans="2:2">
      <c r="B6974"/>
    </row>
    <row r="6975" spans="2:2">
      <c r="B6975"/>
    </row>
    <row r="6976" spans="2:2">
      <c r="B6976"/>
    </row>
    <row r="6977" spans="2:2">
      <c r="B6977"/>
    </row>
    <row r="6978" spans="2:2">
      <c r="B6978"/>
    </row>
    <row r="6979" spans="2:2">
      <c r="B6979"/>
    </row>
    <row r="6980" spans="2:2">
      <c r="B6980"/>
    </row>
    <row r="6981" spans="2:2">
      <c r="B6981"/>
    </row>
    <row r="6982" spans="2:2">
      <c r="B6982"/>
    </row>
    <row r="6983" spans="2:2">
      <c r="B6983"/>
    </row>
    <row r="6984" spans="2:2">
      <c r="B6984"/>
    </row>
    <row r="6985" spans="2:2">
      <c r="B6985"/>
    </row>
    <row r="6986" spans="2:2">
      <c r="B6986"/>
    </row>
    <row r="6987" spans="2:2">
      <c r="B6987"/>
    </row>
    <row r="6988" spans="2:2">
      <c r="B6988"/>
    </row>
    <row r="6989" spans="2:2">
      <c r="B6989"/>
    </row>
    <row r="6990" spans="2:2">
      <c r="B6990"/>
    </row>
    <row r="6991" spans="2:2">
      <c r="B6991"/>
    </row>
    <row r="6992" spans="2:2">
      <c r="B6992"/>
    </row>
    <row r="6993" spans="2:2">
      <c r="B6993"/>
    </row>
    <row r="6994" spans="2:2">
      <c r="B6994"/>
    </row>
    <row r="6995" spans="2:2">
      <c r="B6995"/>
    </row>
    <row r="6996" spans="2:2">
      <c r="B6996"/>
    </row>
    <row r="6997" spans="2:2">
      <c r="B6997"/>
    </row>
    <row r="6998" spans="2:2">
      <c r="B6998"/>
    </row>
    <row r="6999" spans="2:2">
      <c r="B6999"/>
    </row>
    <row r="7000" spans="2:2">
      <c r="B7000"/>
    </row>
    <row r="7001" spans="2:2">
      <c r="B7001"/>
    </row>
    <row r="7002" spans="2:2">
      <c r="B7002"/>
    </row>
    <row r="7003" spans="2:2">
      <c r="B7003"/>
    </row>
    <row r="7004" spans="2:2">
      <c r="B7004"/>
    </row>
    <row r="7005" spans="2:2">
      <c r="B7005"/>
    </row>
    <row r="7006" spans="2:2">
      <c r="B7006"/>
    </row>
    <row r="7007" spans="2:2">
      <c r="B7007"/>
    </row>
    <row r="7008" spans="2:2">
      <c r="B7008"/>
    </row>
    <row r="7009" spans="2:2">
      <c r="B7009"/>
    </row>
    <row r="7010" spans="2:2">
      <c r="B7010"/>
    </row>
    <row r="7011" spans="2:2">
      <c r="B7011"/>
    </row>
    <row r="7012" spans="2:2">
      <c r="B7012"/>
    </row>
    <row r="7013" spans="2:2">
      <c r="B7013"/>
    </row>
    <row r="7014" spans="2:2">
      <c r="B7014"/>
    </row>
    <row r="7015" spans="2:2">
      <c r="B7015"/>
    </row>
    <row r="7016" spans="2:2">
      <c r="B7016"/>
    </row>
    <row r="7017" spans="2:2">
      <c r="B7017"/>
    </row>
    <row r="7018" spans="2:2">
      <c r="B7018"/>
    </row>
    <row r="7019" spans="2:2">
      <c r="B7019"/>
    </row>
    <row r="7020" spans="2:2">
      <c r="B7020"/>
    </row>
    <row r="7021" spans="2:2">
      <c r="B7021"/>
    </row>
    <row r="7022" spans="2:2">
      <c r="B7022"/>
    </row>
    <row r="7023" spans="2:2">
      <c r="B7023"/>
    </row>
    <row r="7024" spans="2:2">
      <c r="B7024"/>
    </row>
    <row r="7025" spans="2:2">
      <c r="B7025"/>
    </row>
    <row r="7026" spans="2:2">
      <c r="B7026"/>
    </row>
    <row r="7027" spans="2:2">
      <c r="B7027"/>
    </row>
    <row r="7028" spans="2:2">
      <c r="B7028"/>
    </row>
    <row r="7029" spans="2:2">
      <c r="B7029"/>
    </row>
  </sheetData>
  <mergeCells count="14">
    <mergeCell ref="C15:E15"/>
    <mergeCell ref="C22:E22"/>
    <mergeCell ref="C29:E29"/>
    <mergeCell ref="C36:E36"/>
    <mergeCell ref="C3:D3"/>
    <mergeCell ref="C6:D6"/>
    <mergeCell ref="C7:D7"/>
    <mergeCell ref="B9:E9"/>
    <mergeCell ref="A3:A7"/>
    <mergeCell ref="A9:A11"/>
    <mergeCell ref="B4:E5"/>
    <mergeCell ref="F3:G8"/>
    <mergeCell ref="C10:E10"/>
    <mergeCell ref="F9:G9"/>
  </mergeCells>
  <pageMargins left="0.25" right="0.25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7" workbookViewId="0">
      <selection activeCell="C10" sqref="C10:E10"/>
    </sheetView>
  </sheetViews>
  <sheetFormatPr baseColWidth="10" defaultColWidth="11" defaultRowHeight="15"/>
  <cols>
    <col min="1" max="1" width="28.140625" customWidth="1"/>
    <col min="2" max="2" width="11" customWidth="1"/>
    <col min="4" max="4" width="11.85546875" customWidth="1"/>
    <col min="5" max="5" width="11.5703125" customWidth="1"/>
    <col min="6" max="6" width="11.85546875" customWidth="1"/>
    <col min="7" max="7" width="12.28515625" customWidth="1"/>
  </cols>
  <sheetData>
    <row r="1" spans="1:7">
      <c r="A1" s="1083"/>
      <c r="B1" s="1094" t="s">
        <v>52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>
      <c r="A4" s="1083"/>
      <c r="B4" s="1094"/>
      <c r="C4" s="1094"/>
      <c r="D4" s="1094"/>
      <c r="E4" s="1094"/>
      <c r="F4" s="1089"/>
      <c r="G4" s="1089"/>
    </row>
    <row r="5" spans="1:7">
      <c r="A5" s="431"/>
      <c r="B5" s="431"/>
      <c r="C5" s="1107">
        <v>2022</v>
      </c>
      <c r="D5" s="1107"/>
      <c r="E5" s="432"/>
      <c r="F5" s="1089"/>
      <c r="G5" s="1089"/>
    </row>
    <row r="6" spans="1:7" ht="15.75">
      <c r="A6" s="1105" t="s">
        <v>2</v>
      </c>
      <c r="B6" s="1108" t="s">
        <v>40</v>
      </c>
      <c r="C6" s="1108"/>
      <c r="D6" s="1108"/>
      <c r="E6" s="1108"/>
      <c r="F6" s="1108" t="s">
        <v>4</v>
      </c>
      <c r="G6" s="1109"/>
    </row>
    <row r="7" spans="1:7" ht="15.75">
      <c r="A7" s="1106"/>
      <c r="B7" s="864" t="s">
        <v>5</v>
      </c>
      <c r="C7" s="1110" t="s">
        <v>6</v>
      </c>
      <c r="D7" s="1110"/>
      <c r="E7" s="1110"/>
      <c r="F7" s="864" t="s">
        <v>5</v>
      </c>
      <c r="G7" s="900" t="s">
        <v>6</v>
      </c>
    </row>
    <row r="8" spans="1:7" ht="15.75">
      <c r="A8" s="1106"/>
      <c r="B8" s="865"/>
      <c r="C8" s="866" t="s">
        <v>8</v>
      </c>
      <c r="D8" s="866" t="s">
        <v>9</v>
      </c>
      <c r="E8" s="866" t="s">
        <v>10</v>
      </c>
      <c r="F8" s="884"/>
      <c r="G8" s="911"/>
    </row>
    <row r="9" spans="1:7" ht="15.75">
      <c r="A9" s="824">
        <v>44896</v>
      </c>
      <c r="B9" s="884" t="s">
        <v>53</v>
      </c>
      <c r="C9" s="869" t="s">
        <v>12</v>
      </c>
      <c r="D9" s="869" t="s">
        <v>13</v>
      </c>
      <c r="E9" s="870" t="s">
        <v>50</v>
      </c>
      <c r="F9" s="884" t="s">
        <v>54</v>
      </c>
      <c r="G9" s="885" t="s">
        <v>55</v>
      </c>
    </row>
    <row r="10" spans="1:7" ht="15.75">
      <c r="A10" s="912">
        <v>44897</v>
      </c>
      <c r="B10" s="872" t="s">
        <v>56</v>
      </c>
      <c r="C10" s="1104" t="s">
        <v>57</v>
      </c>
      <c r="D10" s="1104"/>
      <c r="E10" s="1104"/>
      <c r="F10" s="872" t="s">
        <v>17</v>
      </c>
      <c r="G10" s="888" t="s">
        <v>14</v>
      </c>
    </row>
    <row r="11" spans="1:7" ht="15.75">
      <c r="A11" s="824">
        <v>44898</v>
      </c>
      <c r="B11" s="884" t="s">
        <v>58</v>
      </c>
      <c r="C11" s="869" t="s">
        <v>12</v>
      </c>
      <c r="D11" s="869" t="s">
        <v>13</v>
      </c>
      <c r="E11" s="870" t="s">
        <v>59</v>
      </c>
      <c r="F11" s="884" t="s">
        <v>60</v>
      </c>
      <c r="G11" s="885" t="s">
        <v>17</v>
      </c>
    </row>
    <row r="12" spans="1:7" ht="15.75">
      <c r="A12" s="824">
        <v>44899</v>
      </c>
      <c r="B12" s="825" t="s">
        <v>53</v>
      </c>
      <c r="C12" s="869" t="s">
        <v>12</v>
      </c>
      <c r="D12" s="869" t="s">
        <v>13</v>
      </c>
      <c r="E12" s="870" t="s">
        <v>61</v>
      </c>
      <c r="F12" s="825" t="s">
        <v>56</v>
      </c>
      <c r="G12" s="885" t="s">
        <v>23</v>
      </c>
    </row>
    <row r="13" spans="1:7" ht="15.75">
      <c r="A13" s="824">
        <v>44900</v>
      </c>
      <c r="B13" s="884" t="s">
        <v>62</v>
      </c>
      <c r="C13" s="869" t="s">
        <v>12</v>
      </c>
      <c r="D13" s="869" t="s">
        <v>13</v>
      </c>
      <c r="E13" s="870" t="s">
        <v>59</v>
      </c>
      <c r="F13" s="913" t="s">
        <v>56</v>
      </c>
      <c r="G13" s="885" t="s">
        <v>23</v>
      </c>
    </row>
    <row r="14" spans="1:7" ht="15.75">
      <c r="A14" s="824">
        <v>44901</v>
      </c>
      <c r="B14" s="884" t="s">
        <v>53</v>
      </c>
      <c r="C14" s="869" t="s">
        <v>12</v>
      </c>
      <c r="D14" s="869" t="s">
        <v>13</v>
      </c>
      <c r="E14" s="870" t="s">
        <v>63</v>
      </c>
      <c r="F14" s="884" t="s">
        <v>60</v>
      </c>
      <c r="G14" s="885" t="s">
        <v>29</v>
      </c>
    </row>
    <row r="15" spans="1:7" ht="15.75">
      <c r="A15" s="824">
        <v>44902</v>
      </c>
      <c r="B15" s="825" t="s">
        <v>53</v>
      </c>
      <c r="C15" s="869" t="s">
        <v>12</v>
      </c>
      <c r="D15" s="869" t="s">
        <v>13</v>
      </c>
      <c r="E15" s="870" t="s">
        <v>59</v>
      </c>
      <c r="F15" s="825" t="s">
        <v>21</v>
      </c>
      <c r="G15" s="885" t="s">
        <v>50</v>
      </c>
    </row>
    <row r="16" spans="1:7" ht="15.75">
      <c r="A16" s="824">
        <v>44903</v>
      </c>
      <c r="B16" s="884" t="s">
        <v>62</v>
      </c>
      <c r="C16" s="869" t="s">
        <v>12</v>
      </c>
      <c r="D16" s="869" t="s">
        <v>13</v>
      </c>
      <c r="E16" s="870" t="s">
        <v>50</v>
      </c>
      <c r="F16" s="884" t="s">
        <v>56</v>
      </c>
      <c r="G16" s="885" t="s">
        <v>21</v>
      </c>
    </row>
    <row r="17" spans="1:7" ht="15.75">
      <c r="A17" s="912">
        <v>44904</v>
      </c>
      <c r="B17" s="872" t="s">
        <v>60</v>
      </c>
      <c r="C17" s="1104" t="s">
        <v>14</v>
      </c>
      <c r="D17" s="1104"/>
      <c r="E17" s="1104"/>
      <c r="F17" s="872" t="s">
        <v>60</v>
      </c>
      <c r="G17" s="888" t="s">
        <v>14</v>
      </c>
    </row>
    <row r="18" spans="1:7" ht="15.75">
      <c r="A18" s="824">
        <v>44905</v>
      </c>
      <c r="B18" s="884" t="s">
        <v>53</v>
      </c>
      <c r="C18" s="869" t="s">
        <v>12</v>
      </c>
      <c r="D18" s="869" t="s">
        <v>13</v>
      </c>
      <c r="E18" s="870" t="s">
        <v>59</v>
      </c>
      <c r="F18" s="884" t="s">
        <v>21</v>
      </c>
      <c r="G18" s="885" t="s">
        <v>17</v>
      </c>
    </row>
    <row r="19" spans="1:7" ht="15.75">
      <c r="A19" s="824">
        <v>44906</v>
      </c>
      <c r="B19" s="825" t="s">
        <v>62</v>
      </c>
      <c r="C19" s="869" t="s">
        <v>12</v>
      </c>
      <c r="D19" s="869" t="s">
        <v>13</v>
      </c>
      <c r="E19" s="870" t="s">
        <v>63</v>
      </c>
      <c r="F19" s="825" t="s">
        <v>56</v>
      </c>
      <c r="G19" s="885" t="s">
        <v>23</v>
      </c>
    </row>
    <row r="20" spans="1:7" ht="15.75">
      <c r="A20" s="824">
        <v>44907</v>
      </c>
      <c r="B20" s="884" t="s">
        <v>62</v>
      </c>
      <c r="C20" s="869" t="s">
        <v>12</v>
      </c>
      <c r="D20" s="869" t="s">
        <v>13</v>
      </c>
      <c r="E20" s="870" t="s">
        <v>63</v>
      </c>
      <c r="F20" s="884" t="s">
        <v>60</v>
      </c>
      <c r="G20" s="885" t="s">
        <v>17</v>
      </c>
    </row>
    <row r="21" spans="1:7" ht="15.75">
      <c r="A21" s="824">
        <v>44908</v>
      </c>
      <c r="B21" s="884" t="s">
        <v>62</v>
      </c>
      <c r="C21" s="869" t="s">
        <v>12</v>
      </c>
      <c r="D21" s="869" t="s">
        <v>13</v>
      </c>
      <c r="E21" s="870" t="s">
        <v>59</v>
      </c>
      <c r="F21" s="884" t="s">
        <v>56</v>
      </c>
      <c r="G21" s="885" t="s">
        <v>64</v>
      </c>
    </row>
    <row r="22" spans="1:7" ht="15.75">
      <c r="A22" s="824">
        <v>44909</v>
      </c>
      <c r="B22" s="825" t="s">
        <v>62</v>
      </c>
      <c r="C22" s="869" t="s">
        <v>12</v>
      </c>
      <c r="D22" s="869" t="s">
        <v>13</v>
      </c>
      <c r="E22" s="870" t="s">
        <v>63</v>
      </c>
      <c r="F22" s="825" t="s">
        <v>56</v>
      </c>
      <c r="G22" s="885" t="s">
        <v>23</v>
      </c>
    </row>
    <row r="23" spans="1:7" ht="15.75">
      <c r="A23" s="824">
        <v>44910</v>
      </c>
      <c r="B23" s="884" t="s">
        <v>53</v>
      </c>
      <c r="C23" s="869" t="s">
        <v>12</v>
      </c>
      <c r="D23" s="869" t="s">
        <v>13</v>
      </c>
      <c r="E23" s="870" t="s">
        <v>50</v>
      </c>
      <c r="F23" s="884" t="s">
        <v>56</v>
      </c>
      <c r="G23" s="885" t="s">
        <v>21</v>
      </c>
    </row>
    <row r="24" spans="1:7" ht="15.75">
      <c r="A24" s="912">
        <v>44911</v>
      </c>
      <c r="B24" s="872" t="s">
        <v>21</v>
      </c>
      <c r="C24" s="1104" t="s">
        <v>65</v>
      </c>
      <c r="D24" s="1104"/>
      <c r="E24" s="1104"/>
      <c r="F24" s="872" t="s">
        <v>21</v>
      </c>
      <c r="G24" s="888" t="s">
        <v>14</v>
      </c>
    </row>
    <row r="25" spans="1:7" ht="15.75">
      <c r="A25" s="824">
        <v>44912</v>
      </c>
      <c r="B25" s="884" t="s">
        <v>53</v>
      </c>
      <c r="C25" s="869" t="s">
        <v>12</v>
      </c>
      <c r="D25" s="869" t="s">
        <v>13</v>
      </c>
      <c r="E25" s="870" t="s">
        <v>59</v>
      </c>
      <c r="F25" s="884" t="s">
        <v>56</v>
      </c>
      <c r="G25" s="885" t="s">
        <v>21</v>
      </c>
    </row>
    <row r="26" spans="1:7" ht="15.75">
      <c r="A26" s="824">
        <v>44913</v>
      </c>
      <c r="B26" s="825" t="s">
        <v>66</v>
      </c>
      <c r="C26" s="869" t="s">
        <v>12</v>
      </c>
      <c r="D26" s="869" t="s">
        <v>13</v>
      </c>
      <c r="E26" s="870" t="s">
        <v>63</v>
      </c>
      <c r="F26" s="825" t="s">
        <v>60</v>
      </c>
      <c r="G26" s="885" t="s">
        <v>17</v>
      </c>
    </row>
    <row r="27" spans="1:7" ht="15.75">
      <c r="A27" s="824">
        <v>44914</v>
      </c>
      <c r="B27" s="884" t="s">
        <v>53</v>
      </c>
      <c r="C27" s="869" t="s">
        <v>12</v>
      </c>
      <c r="D27" s="869" t="s">
        <v>13</v>
      </c>
      <c r="E27" s="870" t="s">
        <v>59</v>
      </c>
      <c r="F27" s="884" t="s">
        <v>21</v>
      </c>
      <c r="G27" s="885" t="s">
        <v>50</v>
      </c>
    </row>
    <row r="28" spans="1:7" ht="15.75">
      <c r="A28" s="824">
        <v>44915</v>
      </c>
      <c r="B28" s="884" t="s">
        <v>62</v>
      </c>
      <c r="C28" s="869" t="s">
        <v>12</v>
      </c>
      <c r="D28" s="869" t="s">
        <v>13</v>
      </c>
      <c r="E28" s="870" t="s">
        <v>63</v>
      </c>
      <c r="F28" s="884" t="s">
        <v>56</v>
      </c>
      <c r="G28" s="885" t="s">
        <v>29</v>
      </c>
    </row>
    <row r="29" spans="1:7" ht="15.75">
      <c r="A29" s="824">
        <v>44916</v>
      </c>
      <c r="B29" s="825" t="s">
        <v>62</v>
      </c>
      <c r="C29" s="869" t="s">
        <v>12</v>
      </c>
      <c r="D29" s="869" t="s">
        <v>13</v>
      </c>
      <c r="E29" s="870" t="s">
        <v>63</v>
      </c>
      <c r="F29" s="825" t="s">
        <v>21</v>
      </c>
      <c r="G29" s="885" t="s">
        <v>17</v>
      </c>
    </row>
    <row r="30" spans="1:7" ht="15.75">
      <c r="A30" s="824">
        <v>44917</v>
      </c>
      <c r="B30" s="884" t="s">
        <v>53</v>
      </c>
      <c r="C30" s="869" t="s">
        <v>12</v>
      </c>
      <c r="D30" s="869" t="s">
        <v>13</v>
      </c>
      <c r="E30" s="870" t="s">
        <v>50</v>
      </c>
      <c r="F30" s="884" t="s">
        <v>21</v>
      </c>
      <c r="G30" s="885" t="s">
        <v>23</v>
      </c>
    </row>
    <row r="31" spans="1:7" ht="15.75">
      <c r="A31" s="912">
        <v>44918</v>
      </c>
      <c r="B31" s="872" t="s">
        <v>21</v>
      </c>
      <c r="C31" s="1104" t="s">
        <v>56</v>
      </c>
      <c r="D31" s="1104"/>
      <c r="E31" s="1104"/>
      <c r="F31" s="872" t="s">
        <v>21</v>
      </c>
      <c r="G31" s="888" t="s">
        <v>67</v>
      </c>
    </row>
    <row r="32" spans="1:7" ht="15.75">
      <c r="A32" s="824">
        <v>44919</v>
      </c>
      <c r="B32" s="884" t="s">
        <v>53</v>
      </c>
      <c r="C32" s="869" t="s">
        <v>12</v>
      </c>
      <c r="D32" s="869" t="s">
        <v>13</v>
      </c>
      <c r="E32" s="870" t="s">
        <v>63</v>
      </c>
      <c r="F32" s="884" t="s">
        <v>21</v>
      </c>
      <c r="G32" s="885" t="s">
        <v>17</v>
      </c>
    </row>
    <row r="33" spans="1:7" ht="15.75">
      <c r="A33" s="824">
        <v>44920</v>
      </c>
      <c r="B33" s="825" t="s">
        <v>53</v>
      </c>
      <c r="C33" s="869" t="s">
        <v>12</v>
      </c>
      <c r="D33" s="869" t="s">
        <v>13</v>
      </c>
      <c r="E33" s="870" t="s">
        <v>59</v>
      </c>
      <c r="F33" s="825" t="s">
        <v>21</v>
      </c>
      <c r="G33" s="885" t="s">
        <v>50</v>
      </c>
    </row>
    <row r="34" spans="1:7" ht="15.75">
      <c r="A34" s="824">
        <v>44921</v>
      </c>
      <c r="B34" s="884" t="s">
        <v>62</v>
      </c>
      <c r="C34" s="869" t="s">
        <v>12</v>
      </c>
      <c r="D34" s="869" t="s">
        <v>13</v>
      </c>
      <c r="E34" s="870" t="s">
        <v>63</v>
      </c>
      <c r="F34" s="884" t="s">
        <v>56</v>
      </c>
      <c r="G34" s="885" t="s">
        <v>14</v>
      </c>
    </row>
    <row r="35" spans="1:7" ht="15.75">
      <c r="A35" s="824">
        <v>44922</v>
      </c>
      <c r="B35" s="884" t="s">
        <v>62</v>
      </c>
      <c r="C35" s="869" t="s">
        <v>12</v>
      </c>
      <c r="D35" s="869" t="s">
        <v>13</v>
      </c>
      <c r="E35" s="870" t="s">
        <v>59</v>
      </c>
      <c r="F35" s="884" t="s">
        <v>56</v>
      </c>
      <c r="G35" s="885" t="s">
        <v>29</v>
      </c>
    </row>
    <row r="36" spans="1:7" ht="15.75">
      <c r="A36" s="824">
        <v>44923</v>
      </c>
      <c r="B36" s="825" t="s">
        <v>68</v>
      </c>
      <c r="C36" s="869" t="s">
        <v>12</v>
      </c>
      <c r="D36" s="869" t="s">
        <v>13</v>
      </c>
      <c r="E36" s="870" t="s">
        <v>63</v>
      </c>
      <c r="F36" s="825" t="s">
        <v>21</v>
      </c>
      <c r="G36" s="885" t="s">
        <v>14</v>
      </c>
    </row>
    <row r="37" spans="1:7" ht="15.75">
      <c r="A37" s="824">
        <v>44924</v>
      </c>
      <c r="B37" s="884" t="s">
        <v>62</v>
      </c>
      <c r="C37" s="869" t="s">
        <v>12</v>
      </c>
      <c r="D37" s="869" t="s">
        <v>13</v>
      </c>
      <c r="E37" s="870" t="s">
        <v>50</v>
      </c>
      <c r="F37" s="884" t="s">
        <v>56</v>
      </c>
      <c r="G37" s="885" t="s">
        <v>23</v>
      </c>
    </row>
    <row r="38" spans="1:7" ht="15.75">
      <c r="A38" s="912">
        <v>44925</v>
      </c>
      <c r="B38" s="872" t="s">
        <v>60</v>
      </c>
      <c r="C38" s="1104" t="s">
        <v>14</v>
      </c>
      <c r="D38" s="1104"/>
      <c r="E38" s="1104"/>
      <c r="F38" s="872" t="s">
        <v>60</v>
      </c>
      <c r="G38" s="888" t="s">
        <v>14</v>
      </c>
    </row>
    <row r="39" spans="1:7" ht="15.75">
      <c r="A39" s="914" t="s">
        <v>69</v>
      </c>
      <c r="B39" s="915" t="s">
        <v>53</v>
      </c>
      <c r="C39" s="891" t="s">
        <v>12</v>
      </c>
      <c r="D39" s="891" t="s">
        <v>13</v>
      </c>
      <c r="E39" s="916" t="s">
        <v>59</v>
      </c>
      <c r="F39" s="915" t="s">
        <v>21</v>
      </c>
      <c r="G39" s="917" t="s">
        <v>50</v>
      </c>
    </row>
  </sheetData>
  <mergeCells count="13">
    <mergeCell ref="F6:G6"/>
    <mergeCell ref="C7:E7"/>
    <mergeCell ref="C10:E10"/>
    <mergeCell ref="F1:G5"/>
    <mergeCell ref="C17:E17"/>
    <mergeCell ref="C24:E24"/>
    <mergeCell ref="C31:E31"/>
    <mergeCell ref="C38:E38"/>
    <mergeCell ref="A1:A4"/>
    <mergeCell ref="A6:A8"/>
    <mergeCell ref="B1:E4"/>
    <mergeCell ref="C5:D5"/>
    <mergeCell ref="B6:E6"/>
  </mergeCells>
  <pageMargins left="0.25" right="0.25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topLeftCell="D19" workbookViewId="0">
      <selection activeCell="E46" sqref="E46"/>
    </sheetView>
  </sheetViews>
  <sheetFormatPr baseColWidth="10" defaultColWidth="11" defaultRowHeight="15"/>
  <cols>
    <col min="1" max="1" width="29.5703125" customWidth="1"/>
    <col min="2" max="2" width="10" customWidth="1"/>
    <col min="3" max="3" width="15.85546875" customWidth="1"/>
    <col min="5" max="5" width="8.85546875" customWidth="1"/>
    <col min="6" max="6" width="11.85546875" customWidth="1"/>
    <col min="7" max="7" width="11.42578125" customWidth="1"/>
  </cols>
  <sheetData>
    <row r="1" spans="1:7">
      <c r="A1" s="1083"/>
      <c r="B1" s="1094" t="s">
        <v>70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>
      <c r="A4" s="1083"/>
      <c r="B4" s="1094"/>
      <c r="C4" s="1094"/>
      <c r="D4" s="1094"/>
      <c r="E4" s="1094"/>
      <c r="F4" s="1089"/>
      <c r="G4" s="1089"/>
    </row>
    <row r="5" spans="1:7" ht="15.75">
      <c r="A5" s="431"/>
      <c r="B5" s="431"/>
      <c r="C5" s="1090">
        <v>2023</v>
      </c>
      <c r="D5" s="1090"/>
      <c r="E5" s="432"/>
      <c r="F5" s="1089"/>
      <c r="G5" s="1089"/>
    </row>
    <row r="6" spans="1:7" ht="15.75">
      <c r="A6" s="1105" t="s">
        <v>2</v>
      </c>
      <c r="B6" s="1108" t="s">
        <v>40</v>
      </c>
      <c r="C6" s="1108"/>
      <c r="D6" s="1108"/>
      <c r="E6" s="1108"/>
      <c r="F6" s="1108" t="s">
        <v>4</v>
      </c>
      <c r="G6" s="1109"/>
    </row>
    <row r="7" spans="1:7" ht="15.75">
      <c r="A7" s="1106"/>
      <c r="B7" s="864" t="s">
        <v>5</v>
      </c>
      <c r="C7" s="1110" t="s">
        <v>6</v>
      </c>
      <c r="D7" s="1110"/>
      <c r="E7" s="1110"/>
      <c r="F7" s="1114" t="s">
        <v>5</v>
      </c>
      <c r="G7" s="1115" t="s">
        <v>6</v>
      </c>
    </row>
    <row r="8" spans="1:7" ht="15.75">
      <c r="A8" s="1106"/>
      <c r="B8" s="865"/>
      <c r="C8" s="866" t="s">
        <v>8</v>
      </c>
      <c r="D8" s="866" t="s">
        <v>9</v>
      </c>
      <c r="E8" s="866" t="s">
        <v>10</v>
      </c>
      <c r="F8" s="1114"/>
      <c r="G8" s="1115"/>
    </row>
    <row r="9" spans="1:7" ht="19.5" customHeight="1">
      <c r="A9" s="824">
        <v>44986</v>
      </c>
      <c r="B9" s="884" t="s">
        <v>71</v>
      </c>
      <c r="C9" s="869" t="s">
        <v>12</v>
      </c>
      <c r="D9" s="869" t="s">
        <v>13</v>
      </c>
      <c r="E9" s="870" t="s">
        <v>63</v>
      </c>
      <c r="F9" s="884" t="s">
        <v>17</v>
      </c>
      <c r="G9" s="885" t="s">
        <v>72</v>
      </c>
    </row>
    <row r="10" spans="1:7" ht="19.5" customHeight="1">
      <c r="A10" s="824">
        <v>44987</v>
      </c>
      <c r="B10" s="884" t="s">
        <v>71</v>
      </c>
      <c r="C10" s="869" t="s">
        <v>12</v>
      </c>
      <c r="D10" s="869" t="s">
        <v>13</v>
      </c>
      <c r="E10" s="870" t="s">
        <v>63</v>
      </c>
      <c r="F10" s="825" t="s">
        <v>17</v>
      </c>
      <c r="G10" s="885" t="s">
        <v>73</v>
      </c>
    </row>
    <row r="11" spans="1:7" ht="19.5" customHeight="1">
      <c r="A11" s="824">
        <v>44988</v>
      </c>
      <c r="B11" s="872" t="s">
        <v>21</v>
      </c>
      <c r="C11" s="1104" t="s">
        <v>17</v>
      </c>
      <c r="D11" s="1104"/>
      <c r="E11" s="1104"/>
      <c r="F11" s="872" t="s">
        <v>21</v>
      </c>
      <c r="G11" s="888" t="s">
        <v>34</v>
      </c>
    </row>
    <row r="12" spans="1:7" ht="19.5" customHeight="1">
      <c r="A12" s="824">
        <v>44989</v>
      </c>
      <c r="B12" s="825" t="s">
        <v>53</v>
      </c>
      <c r="C12" s="869" t="s">
        <v>12</v>
      </c>
      <c r="D12" s="869" t="s">
        <v>13</v>
      </c>
      <c r="E12" s="870" t="s">
        <v>61</v>
      </c>
      <c r="F12" s="825" t="s">
        <v>21</v>
      </c>
      <c r="G12" s="885" t="s">
        <v>63</v>
      </c>
    </row>
    <row r="13" spans="1:7" ht="19.5" customHeight="1">
      <c r="A13" s="824">
        <v>44990</v>
      </c>
      <c r="B13" s="884" t="s">
        <v>71</v>
      </c>
      <c r="C13" s="869" t="s">
        <v>12</v>
      </c>
      <c r="D13" s="869" t="s">
        <v>13</v>
      </c>
      <c r="E13" s="870" t="s">
        <v>61</v>
      </c>
      <c r="F13" s="886" t="s">
        <v>17</v>
      </c>
      <c r="G13" s="885" t="s">
        <v>23</v>
      </c>
    </row>
    <row r="14" spans="1:7" ht="19.5" customHeight="1">
      <c r="A14" s="824">
        <v>44991</v>
      </c>
      <c r="B14" s="884" t="s">
        <v>71</v>
      </c>
      <c r="C14" s="869" t="s">
        <v>12</v>
      </c>
      <c r="D14" s="869" t="s">
        <v>13</v>
      </c>
      <c r="E14" s="870" t="s">
        <v>63</v>
      </c>
      <c r="F14" s="884" t="s">
        <v>17</v>
      </c>
      <c r="G14" s="885" t="s">
        <v>14</v>
      </c>
    </row>
    <row r="15" spans="1:7" ht="19.5" customHeight="1">
      <c r="A15" s="824">
        <v>44992</v>
      </c>
      <c r="B15" s="825" t="s">
        <v>53</v>
      </c>
      <c r="C15" s="869" t="s">
        <v>12</v>
      </c>
      <c r="D15" s="869" t="s">
        <v>13</v>
      </c>
      <c r="E15" s="870" t="s">
        <v>61</v>
      </c>
      <c r="F15" s="825" t="s">
        <v>21</v>
      </c>
      <c r="G15" s="885" t="s">
        <v>29</v>
      </c>
    </row>
    <row r="16" spans="1:7" ht="19.5" customHeight="1">
      <c r="A16" s="824">
        <v>44993</v>
      </c>
      <c r="B16" s="884" t="s">
        <v>53</v>
      </c>
      <c r="C16" s="869" t="s">
        <v>12</v>
      </c>
      <c r="D16" s="869" t="s">
        <v>13</v>
      </c>
      <c r="E16" s="870" t="s">
        <v>61</v>
      </c>
      <c r="F16" s="884" t="s">
        <v>21</v>
      </c>
      <c r="G16" s="885" t="s">
        <v>17</v>
      </c>
    </row>
    <row r="17" spans="1:7" ht="19.5" customHeight="1">
      <c r="A17" s="824">
        <v>44994</v>
      </c>
      <c r="B17" s="825" t="s">
        <v>71</v>
      </c>
      <c r="C17" s="869" t="s">
        <v>12</v>
      </c>
      <c r="D17" s="869" t="s">
        <v>13</v>
      </c>
      <c r="E17" s="870" t="s">
        <v>63</v>
      </c>
      <c r="F17" s="825" t="s">
        <v>17</v>
      </c>
      <c r="G17" s="885" t="s">
        <v>21</v>
      </c>
    </row>
    <row r="18" spans="1:7" ht="19.5" customHeight="1">
      <c r="A18" s="824">
        <v>44995</v>
      </c>
      <c r="B18" s="872" t="s">
        <v>21</v>
      </c>
      <c r="C18" s="1104" t="s">
        <v>17</v>
      </c>
      <c r="D18" s="1104"/>
      <c r="E18" s="1104"/>
      <c r="F18" s="872" t="s">
        <v>17</v>
      </c>
      <c r="G18" s="888" t="s">
        <v>21</v>
      </c>
    </row>
    <row r="19" spans="1:7" ht="19.5" customHeight="1">
      <c r="A19" s="824">
        <v>44996</v>
      </c>
      <c r="B19" s="825" t="s">
        <v>53</v>
      </c>
      <c r="C19" s="869" t="s">
        <v>12</v>
      </c>
      <c r="D19" s="869" t="s">
        <v>13</v>
      </c>
      <c r="E19" s="870" t="s">
        <v>63</v>
      </c>
      <c r="F19" s="825" t="s">
        <v>21</v>
      </c>
      <c r="G19" s="885" t="s">
        <v>34</v>
      </c>
    </row>
    <row r="20" spans="1:7" ht="19.5" customHeight="1">
      <c r="A20" s="824">
        <v>44997</v>
      </c>
      <c r="B20" s="884" t="s">
        <v>53</v>
      </c>
      <c r="C20" s="869" t="s">
        <v>12</v>
      </c>
      <c r="D20" s="869" t="s">
        <v>13</v>
      </c>
      <c r="E20" s="870" t="s">
        <v>63</v>
      </c>
      <c r="F20" s="884" t="s">
        <v>21</v>
      </c>
      <c r="G20" s="885" t="s">
        <v>63</v>
      </c>
    </row>
    <row r="21" spans="1:7" ht="19.5" customHeight="1">
      <c r="A21" s="824">
        <v>44998</v>
      </c>
      <c r="B21" s="884" t="s">
        <v>71</v>
      </c>
      <c r="C21" s="869" t="s">
        <v>12</v>
      </c>
      <c r="D21" s="869" t="s">
        <v>13</v>
      </c>
      <c r="E21" s="870" t="s">
        <v>61</v>
      </c>
      <c r="F21" s="884" t="s">
        <v>17</v>
      </c>
      <c r="G21" s="885" t="s">
        <v>23</v>
      </c>
    </row>
    <row r="22" spans="1:7" ht="19.5" customHeight="1">
      <c r="A22" s="824">
        <v>44999</v>
      </c>
      <c r="B22" s="825" t="s">
        <v>71</v>
      </c>
      <c r="C22" s="869" t="s">
        <v>12</v>
      </c>
      <c r="D22" s="869" t="s">
        <v>13</v>
      </c>
      <c r="E22" s="870" t="s">
        <v>63</v>
      </c>
      <c r="F22" s="825" t="s">
        <v>17</v>
      </c>
      <c r="G22" s="885" t="s">
        <v>29</v>
      </c>
    </row>
    <row r="23" spans="1:7" ht="19.5" customHeight="1">
      <c r="A23" s="824">
        <v>45000</v>
      </c>
      <c r="B23" s="884" t="s">
        <v>53</v>
      </c>
      <c r="C23" s="869" t="s">
        <v>12</v>
      </c>
      <c r="D23" s="869" t="s">
        <v>13</v>
      </c>
      <c r="E23" s="870" t="s">
        <v>63</v>
      </c>
      <c r="F23" s="884" t="s">
        <v>21</v>
      </c>
      <c r="G23" s="885" t="s">
        <v>63</v>
      </c>
    </row>
    <row r="24" spans="1:7" ht="19.5" customHeight="1">
      <c r="A24" s="824">
        <v>45001</v>
      </c>
      <c r="B24" s="884" t="s">
        <v>53</v>
      </c>
      <c r="C24" s="869" t="s">
        <v>12</v>
      </c>
      <c r="D24" s="869" t="s">
        <v>13</v>
      </c>
      <c r="E24" s="870" t="s">
        <v>63</v>
      </c>
      <c r="F24" s="825" t="s">
        <v>21</v>
      </c>
      <c r="G24" s="885" t="s">
        <v>74</v>
      </c>
    </row>
    <row r="25" spans="1:7" ht="19.5" customHeight="1">
      <c r="A25" s="824">
        <v>45002</v>
      </c>
      <c r="B25" s="872" t="s">
        <v>17</v>
      </c>
      <c r="C25" s="1104" t="s">
        <v>75</v>
      </c>
      <c r="D25" s="1104"/>
      <c r="E25" s="1104"/>
      <c r="F25" s="872" t="s">
        <v>17</v>
      </c>
      <c r="G25" s="888" t="s">
        <v>76</v>
      </c>
    </row>
    <row r="26" spans="1:7" ht="19.5" customHeight="1">
      <c r="A26" s="824">
        <v>45003</v>
      </c>
      <c r="B26" s="825" t="s">
        <v>71</v>
      </c>
      <c r="C26" s="869" t="s">
        <v>12</v>
      </c>
      <c r="D26" s="869" t="s">
        <v>13</v>
      </c>
      <c r="E26" s="870" t="s">
        <v>63</v>
      </c>
      <c r="F26" s="825" t="s">
        <v>17</v>
      </c>
      <c r="G26" s="885" t="s">
        <v>21</v>
      </c>
    </row>
    <row r="27" spans="1:7" ht="19.5" customHeight="1">
      <c r="A27" s="824">
        <v>45004</v>
      </c>
      <c r="B27" s="884" t="s">
        <v>53</v>
      </c>
      <c r="C27" s="869" t="s">
        <v>12</v>
      </c>
      <c r="D27" s="869" t="s">
        <v>13</v>
      </c>
      <c r="E27" s="870" t="s">
        <v>61</v>
      </c>
      <c r="F27" s="884" t="s">
        <v>21</v>
      </c>
      <c r="G27" s="885" t="s">
        <v>17</v>
      </c>
    </row>
    <row r="28" spans="1:7" ht="19.5" customHeight="1">
      <c r="A28" s="824">
        <v>45005</v>
      </c>
      <c r="B28" s="884" t="s">
        <v>53</v>
      </c>
      <c r="C28" s="869" t="s">
        <v>12</v>
      </c>
      <c r="D28" s="869" t="s">
        <v>13</v>
      </c>
      <c r="E28" s="870" t="s">
        <v>63</v>
      </c>
      <c r="F28" s="884" t="s">
        <v>21</v>
      </c>
      <c r="G28" s="885" t="s">
        <v>76</v>
      </c>
    </row>
    <row r="29" spans="1:7" ht="19.5" customHeight="1">
      <c r="A29" s="824">
        <v>45006</v>
      </c>
      <c r="B29" s="825" t="s">
        <v>71</v>
      </c>
      <c r="C29" s="869" t="s">
        <v>12</v>
      </c>
      <c r="D29" s="869" t="s">
        <v>13</v>
      </c>
      <c r="E29" s="870" t="s">
        <v>63</v>
      </c>
      <c r="F29" s="825" t="s">
        <v>17</v>
      </c>
      <c r="G29" s="885" t="s">
        <v>29</v>
      </c>
    </row>
    <row r="30" spans="1:7" ht="19.5" customHeight="1">
      <c r="A30" s="824">
        <v>45007</v>
      </c>
      <c r="B30" s="884" t="s">
        <v>71</v>
      </c>
      <c r="C30" s="869" t="s">
        <v>12</v>
      </c>
      <c r="D30" s="869" t="s">
        <v>13</v>
      </c>
      <c r="E30" s="870" t="s">
        <v>63</v>
      </c>
      <c r="F30" s="884" t="s">
        <v>17</v>
      </c>
      <c r="G30" s="885" t="s">
        <v>63</v>
      </c>
    </row>
    <row r="31" spans="1:7" ht="19.5" customHeight="1">
      <c r="A31" s="824">
        <v>45008</v>
      </c>
      <c r="B31" s="884" t="s">
        <v>71</v>
      </c>
      <c r="C31" s="869" t="s">
        <v>12</v>
      </c>
      <c r="D31" s="869" t="s">
        <v>13</v>
      </c>
      <c r="E31" s="870" t="s">
        <v>63</v>
      </c>
      <c r="F31" s="825" t="s">
        <v>17</v>
      </c>
      <c r="G31" s="885" t="s">
        <v>76</v>
      </c>
    </row>
    <row r="32" spans="1:7" ht="19.5" customHeight="1">
      <c r="A32" s="824">
        <v>45009</v>
      </c>
      <c r="B32" s="872" t="s">
        <v>21</v>
      </c>
      <c r="C32" s="1104" t="s">
        <v>77</v>
      </c>
      <c r="D32" s="1104"/>
      <c r="E32" s="1104"/>
      <c r="F32" s="872" t="s">
        <v>21</v>
      </c>
      <c r="G32" s="888" t="s">
        <v>17</v>
      </c>
    </row>
    <row r="33" spans="1:7" ht="19.5" customHeight="1">
      <c r="A33" s="824">
        <v>45010</v>
      </c>
      <c r="B33" s="825" t="s">
        <v>71</v>
      </c>
      <c r="C33" s="869" t="s">
        <v>12</v>
      </c>
      <c r="D33" s="869" t="s">
        <v>13</v>
      </c>
      <c r="E33" s="870" t="s">
        <v>61</v>
      </c>
      <c r="F33" s="825" t="s">
        <v>17</v>
      </c>
      <c r="G33" s="885" t="s">
        <v>23</v>
      </c>
    </row>
    <row r="34" spans="1:7" ht="19.5" customHeight="1">
      <c r="A34" s="824">
        <v>45011</v>
      </c>
      <c r="B34" s="884" t="s">
        <v>53</v>
      </c>
      <c r="C34" s="869" t="s">
        <v>12</v>
      </c>
      <c r="D34" s="869" t="s">
        <v>13</v>
      </c>
      <c r="E34" s="870" t="s">
        <v>63</v>
      </c>
      <c r="F34" s="884" t="s">
        <v>21</v>
      </c>
      <c r="G34" s="885" t="s">
        <v>76</v>
      </c>
    </row>
    <row r="35" spans="1:7" ht="19.5" customHeight="1">
      <c r="A35" s="824">
        <v>45012</v>
      </c>
      <c r="B35" s="884" t="s">
        <v>53</v>
      </c>
      <c r="C35" s="869" t="s">
        <v>12</v>
      </c>
      <c r="D35" s="869" t="s">
        <v>13</v>
      </c>
      <c r="E35" s="870" t="s">
        <v>63</v>
      </c>
      <c r="F35" s="884" t="s">
        <v>17</v>
      </c>
      <c r="G35" s="885" t="s">
        <v>63</v>
      </c>
    </row>
    <row r="36" spans="1:7" ht="19.5" customHeight="1">
      <c r="A36" s="824">
        <v>45013</v>
      </c>
      <c r="B36" s="825" t="s">
        <v>53</v>
      </c>
      <c r="C36" s="869" t="s">
        <v>12</v>
      </c>
      <c r="D36" s="869" t="s">
        <v>13</v>
      </c>
      <c r="E36" s="870" t="s">
        <v>63</v>
      </c>
      <c r="F36" s="1116" t="s">
        <v>78</v>
      </c>
      <c r="G36" s="1117"/>
    </row>
    <row r="37" spans="1:7" ht="19.5" customHeight="1">
      <c r="A37" s="824">
        <v>45014</v>
      </c>
      <c r="B37" s="825" t="s">
        <v>71</v>
      </c>
      <c r="C37" s="869" t="s">
        <v>12</v>
      </c>
      <c r="D37" s="869" t="s">
        <v>13</v>
      </c>
      <c r="E37" s="870" t="s">
        <v>63</v>
      </c>
      <c r="F37" s="825" t="s">
        <v>17</v>
      </c>
      <c r="G37" s="885" t="s">
        <v>76</v>
      </c>
    </row>
    <row r="38" spans="1:7" ht="19.5" customHeight="1">
      <c r="A38" s="824">
        <v>45015</v>
      </c>
      <c r="B38" s="825" t="s">
        <v>71</v>
      </c>
      <c r="C38" s="869" t="s">
        <v>12</v>
      </c>
      <c r="D38" s="869" t="s">
        <v>13</v>
      </c>
      <c r="E38" s="870" t="s">
        <v>63</v>
      </c>
      <c r="F38" s="825" t="s">
        <v>17</v>
      </c>
      <c r="G38" s="885" t="s">
        <v>23</v>
      </c>
    </row>
    <row r="39" spans="1:7" ht="19.5" customHeight="1">
      <c r="A39" s="859">
        <v>45016</v>
      </c>
      <c r="B39" s="909" t="s">
        <v>17</v>
      </c>
      <c r="C39" s="1111" t="s">
        <v>21</v>
      </c>
      <c r="D39" s="1112"/>
      <c r="E39" s="1113"/>
      <c r="F39" s="909" t="s">
        <v>17</v>
      </c>
      <c r="G39" s="910" t="s">
        <v>21</v>
      </c>
    </row>
    <row r="42" spans="1:7">
      <c r="A42" s="317"/>
      <c r="B42" s="317"/>
      <c r="C42" s="317"/>
    </row>
    <row r="43" spans="1:7">
      <c r="A43" s="317"/>
      <c r="B43" s="412"/>
      <c r="C43" s="412"/>
    </row>
    <row r="44" spans="1:7">
      <c r="A44" s="317"/>
      <c r="B44" s="412"/>
      <c r="C44" s="412"/>
    </row>
    <row r="45" spans="1:7">
      <c r="A45" s="317"/>
      <c r="B45" s="412"/>
      <c r="C45" s="412"/>
    </row>
    <row r="46" spans="1:7">
      <c r="A46" s="317"/>
      <c r="B46" s="412"/>
      <c r="C46" s="412"/>
    </row>
    <row r="47" spans="1:7">
      <c r="A47" s="317"/>
      <c r="B47" s="412"/>
      <c r="C47" s="412"/>
    </row>
    <row r="48" spans="1:7">
      <c r="A48" s="317"/>
      <c r="B48" s="412"/>
      <c r="C48" s="412"/>
    </row>
    <row r="49" spans="1:3">
      <c r="A49" s="317"/>
      <c r="B49" s="412"/>
      <c r="C49" s="412"/>
    </row>
    <row r="50" spans="1:3">
      <c r="B50" s="1"/>
      <c r="C50" s="1"/>
    </row>
    <row r="51" spans="1:3">
      <c r="B51" s="1"/>
      <c r="C51" s="1"/>
    </row>
  </sheetData>
  <autoFilter ref="F1:G54" xr:uid="{00000000-0009-0000-0000-000003000000}"/>
  <mergeCells count="16">
    <mergeCell ref="C39:E39"/>
    <mergeCell ref="A1:A4"/>
    <mergeCell ref="A6:A8"/>
    <mergeCell ref="F7:F8"/>
    <mergeCell ref="G7:G8"/>
    <mergeCell ref="B1:E4"/>
    <mergeCell ref="F1:G5"/>
    <mergeCell ref="C5:D5"/>
    <mergeCell ref="B6:E6"/>
    <mergeCell ref="F6:G6"/>
    <mergeCell ref="C7:E7"/>
    <mergeCell ref="C11:E11"/>
    <mergeCell ref="C18:E18"/>
    <mergeCell ref="C25:E25"/>
    <mergeCell ref="C32:E32"/>
    <mergeCell ref="F36:G36"/>
  </mergeCells>
  <pageMargins left="0.25" right="0.25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>
      <selection activeCell="M17" sqref="M17"/>
    </sheetView>
  </sheetViews>
  <sheetFormatPr baseColWidth="10" defaultColWidth="11" defaultRowHeight="15"/>
  <cols>
    <col min="1" max="1" width="24.7109375" customWidth="1"/>
    <col min="5" max="5" width="12.140625" customWidth="1"/>
    <col min="6" max="6" width="10.42578125" customWidth="1"/>
    <col min="7" max="7" width="11.5703125" customWidth="1"/>
  </cols>
  <sheetData>
    <row r="1" spans="1:7">
      <c r="A1" s="1083"/>
      <c r="B1" s="1094" t="s">
        <v>79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>
      <c r="A4" s="1083"/>
      <c r="B4" s="1094"/>
      <c r="C4" s="1094"/>
      <c r="D4" s="1094"/>
      <c r="E4" s="1094"/>
      <c r="F4" s="1089"/>
      <c r="G4" s="1089"/>
    </row>
    <row r="5" spans="1:7" ht="21">
      <c r="A5" s="431"/>
      <c r="B5" s="431"/>
      <c r="C5" s="1121">
        <v>2023</v>
      </c>
      <c r="D5" s="1121"/>
      <c r="E5" s="432"/>
      <c r="F5" s="1089"/>
      <c r="G5" s="1089"/>
    </row>
    <row r="6" spans="1:7" ht="15.75">
      <c r="A6" s="1105" t="s">
        <v>2</v>
      </c>
      <c r="B6" s="1108" t="s">
        <v>40</v>
      </c>
      <c r="C6" s="1108"/>
      <c r="D6" s="1108"/>
      <c r="E6" s="1108"/>
      <c r="F6" s="1108" t="s">
        <v>4</v>
      </c>
      <c r="G6" s="1109"/>
    </row>
    <row r="7" spans="1:7" ht="15.75">
      <c r="A7" s="1106"/>
      <c r="B7" s="864" t="s">
        <v>5</v>
      </c>
      <c r="C7" s="1110" t="s">
        <v>6</v>
      </c>
      <c r="D7" s="1110"/>
      <c r="E7" s="1110"/>
      <c r="F7" s="864" t="s">
        <v>5</v>
      </c>
      <c r="G7" s="900" t="s">
        <v>6</v>
      </c>
    </row>
    <row r="8" spans="1:7" ht="15.75">
      <c r="A8" s="1106"/>
      <c r="B8" s="865"/>
      <c r="C8" s="866" t="s">
        <v>8</v>
      </c>
      <c r="D8" s="866" t="s">
        <v>9</v>
      </c>
      <c r="E8" s="866" t="s">
        <v>10</v>
      </c>
      <c r="F8" s="901"/>
      <c r="G8" s="902"/>
    </row>
    <row r="9" spans="1:7" ht="15.75">
      <c r="A9" s="903">
        <v>44927</v>
      </c>
      <c r="B9" s="884" t="s">
        <v>71</v>
      </c>
      <c r="C9" s="869" t="s">
        <v>12</v>
      </c>
      <c r="D9" s="869" t="s">
        <v>13</v>
      </c>
      <c r="E9" s="870" t="s">
        <v>63</v>
      </c>
      <c r="F9" s="884" t="s">
        <v>17</v>
      </c>
      <c r="G9" s="869" t="s">
        <v>23</v>
      </c>
    </row>
    <row r="10" spans="1:7" ht="15.75">
      <c r="A10" s="903">
        <v>44928</v>
      </c>
      <c r="B10" s="825" t="s">
        <v>62</v>
      </c>
      <c r="C10" s="869" t="s">
        <v>12</v>
      </c>
      <c r="D10" s="869" t="s">
        <v>13</v>
      </c>
      <c r="E10" s="870" t="s">
        <v>59</v>
      </c>
      <c r="F10" s="884" t="s">
        <v>17</v>
      </c>
      <c r="G10" s="869" t="s">
        <v>50</v>
      </c>
    </row>
    <row r="11" spans="1:7" ht="15.75">
      <c r="A11" s="903">
        <v>44929</v>
      </c>
      <c r="B11" s="884" t="s">
        <v>62</v>
      </c>
      <c r="C11" s="869" t="s">
        <v>12</v>
      </c>
      <c r="D11" s="869" t="s">
        <v>13</v>
      </c>
      <c r="E11" s="870" t="s">
        <v>59</v>
      </c>
      <c r="F11" s="884" t="s">
        <v>80</v>
      </c>
      <c r="G11" s="869" t="s">
        <v>29</v>
      </c>
    </row>
    <row r="12" spans="1:7" ht="15.75">
      <c r="A12" s="903">
        <v>44930</v>
      </c>
      <c r="B12" s="825" t="s">
        <v>81</v>
      </c>
      <c r="C12" s="869" t="s">
        <v>12</v>
      </c>
      <c r="D12" s="869" t="s">
        <v>13</v>
      </c>
      <c r="E12" s="870" t="s">
        <v>61</v>
      </c>
      <c r="F12" s="825" t="s">
        <v>17</v>
      </c>
      <c r="G12" s="869" t="s">
        <v>82</v>
      </c>
    </row>
    <row r="13" spans="1:7" ht="15.75">
      <c r="A13" s="903">
        <v>44931</v>
      </c>
      <c r="B13" s="825" t="s">
        <v>53</v>
      </c>
      <c r="C13" s="869" t="s">
        <v>12</v>
      </c>
      <c r="D13" s="869" t="s">
        <v>13</v>
      </c>
      <c r="E13" s="870" t="s">
        <v>50</v>
      </c>
      <c r="F13" s="825" t="s">
        <v>83</v>
      </c>
      <c r="G13" s="869" t="s">
        <v>50</v>
      </c>
    </row>
    <row r="14" spans="1:7" ht="15.75">
      <c r="A14" s="904">
        <v>44932</v>
      </c>
      <c r="B14" s="905" t="s">
        <v>21</v>
      </c>
      <c r="C14" s="1118" t="s">
        <v>14</v>
      </c>
      <c r="D14" s="1119"/>
      <c r="E14" s="1120"/>
      <c r="F14" s="905" t="s">
        <v>21</v>
      </c>
      <c r="G14" s="906" t="s">
        <v>14</v>
      </c>
    </row>
    <row r="15" spans="1:7" ht="15.75">
      <c r="A15" s="903">
        <v>44933</v>
      </c>
      <c r="B15" s="825" t="s">
        <v>84</v>
      </c>
      <c r="C15" s="869" t="s">
        <v>12</v>
      </c>
      <c r="D15" s="869" t="s">
        <v>13</v>
      </c>
      <c r="E15" s="870" t="s">
        <v>63</v>
      </c>
      <c r="F15" s="825" t="s">
        <v>83</v>
      </c>
      <c r="G15" s="869" t="s">
        <v>17</v>
      </c>
    </row>
    <row r="16" spans="1:7" ht="15.75">
      <c r="A16" s="903">
        <v>44934</v>
      </c>
      <c r="B16" s="884" t="s">
        <v>53</v>
      </c>
      <c r="C16" s="869" t="s">
        <v>12</v>
      </c>
      <c r="D16" s="869" t="s">
        <v>13</v>
      </c>
      <c r="E16" s="870" t="s">
        <v>63</v>
      </c>
      <c r="F16" s="884" t="s">
        <v>21</v>
      </c>
      <c r="G16" s="869" t="s">
        <v>17</v>
      </c>
    </row>
    <row r="17" spans="1:7" ht="15.75">
      <c r="A17" s="903">
        <v>44935</v>
      </c>
      <c r="B17" s="825" t="s">
        <v>85</v>
      </c>
      <c r="C17" s="869" t="s">
        <v>12</v>
      </c>
      <c r="D17" s="869" t="s">
        <v>13</v>
      </c>
      <c r="E17" s="870" t="s">
        <v>59</v>
      </c>
      <c r="F17" s="825" t="s">
        <v>21</v>
      </c>
      <c r="G17" s="869" t="s">
        <v>50</v>
      </c>
    </row>
    <row r="18" spans="1:7" ht="15.75">
      <c r="A18" s="903">
        <v>44936</v>
      </c>
      <c r="B18" s="884" t="s">
        <v>62</v>
      </c>
      <c r="C18" s="869" t="s">
        <v>12</v>
      </c>
      <c r="D18" s="869" t="s">
        <v>13</v>
      </c>
      <c r="E18" s="870" t="s">
        <v>61</v>
      </c>
      <c r="F18" s="884" t="s">
        <v>60</v>
      </c>
      <c r="G18" s="869" t="s">
        <v>29</v>
      </c>
    </row>
    <row r="19" spans="1:7" ht="15.75">
      <c r="A19" s="903">
        <v>44937</v>
      </c>
      <c r="B19" s="825" t="s">
        <v>62</v>
      </c>
      <c r="C19" s="869" t="s">
        <v>12</v>
      </c>
      <c r="D19" s="869" t="s">
        <v>13</v>
      </c>
      <c r="E19" s="870" t="s">
        <v>63</v>
      </c>
      <c r="F19" s="825" t="s">
        <v>23</v>
      </c>
      <c r="G19" s="869" t="s">
        <v>56</v>
      </c>
    </row>
    <row r="20" spans="1:7" ht="15.75">
      <c r="A20" s="903">
        <v>44938</v>
      </c>
      <c r="B20" s="884" t="s">
        <v>53</v>
      </c>
      <c r="C20" s="869" t="s">
        <v>12</v>
      </c>
      <c r="D20" s="869" t="s">
        <v>13</v>
      </c>
      <c r="E20" s="870" t="s">
        <v>50</v>
      </c>
      <c r="F20" s="884" t="s">
        <v>21</v>
      </c>
      <c r="G20" s="869" t="s">
        <v>50</v>
      </c>
    </row>
    <row r="21" spans="1:7" ht="15.75">
      <c r="A21" s="904">
        <v>44939</v>
      </c>
      <c r="B21" s="905" t="s">
        <v>56</v>
      </c>
      <c r="C21" s="1118" t="s">
        <v>14</v>
      </c>
      <c r="D21" s="1119"/>
      <c r="E21" s="1120"/>
      <c r="F21" s="905" t="s">
        <v>17</v>
      </c>
      <c r="G21" s="906" t="s">
        <v>14</v>
      </c>
    </row>
    <row r="22" spans="1:7" ht="15.75">
      <c r="A22" s="903">
        <v>44940</v>
      </c>
      <c r="B22" s="825" t="s">
        <v>62</v>
      </c>
      <c r="C22" s="869" t="s">
        <v>12</v>
      </c>
      <c r="D22" s="869" t="s">
        <v>13</v>
      </c>
      <c r="E22" s="870" t="s">
        <v>59</v>
      </c>
      <c r="F22" s="825" t="s">
        <v>17</v>
      </c>
      <c r="G22" s="869" t="s">
        <v>50</v>
      </c>
    </row>
    <row r="23" spans="1:7" ht="15.75">
      <c r="A23" s="903">
        <v>44941</v>
      </c>
      <c r="B23" s="884" t="s">
        <v>62</v>
      </c>
      <c r="C23" s="869" t="s">
        <v>12</v>
      </c>
      <c r="D23" s="869" t="s">
        <v>13</v>
      </c>
      <c r="E23" s="870" t="s">
        <v>63</v>
      </c>
      <c r="F23" s="884" t="s">
        <v>17</v>
      </c>
      <c r="G23" s="869" t="s">
        <v>50</v>
      </c>
    </row>
    <row r="24" spans="1:7" ht="15.75">
      <c r="A24" s="903">
        <v>44942</v>
      </c>
      <c r="B24" s="825" t="s">
        <v>62</v>
      </c>
      <c r="C24" s="869" t="s">
        <v>12</v>
      </c>
      <c r="D24" s="869" t="s">
        <v>13</v>
      </c>
      <c r="E24" s="870" t="s">
        <v>63</v>
      </c>
      <c r="F24" s="825" t="s">
        <v>17</v>
      </c>
      <c r="G24" s="869" t="s">
        <v>23</v>
      </c>
    </row>
    <row r="25" spans="1:7" ht="15.75">
      <c r="A25" s="903">
        <v>44943</v>
      </c>
      <c r="B25" s="884" t="s">
        <v>62</v>
      </c>
      <c r="C25" s="869" t="s">
        <v>12</v>
      </c>
      <c r="D25" s="869" t="s">
        <v>13</v>
      </c>
      <c r="E25" s="870" t="s">
        <v>63</v>
      </c>
      <c r="F25" s="825" t="s">
        <v>17</v>
      </c>
      <c r="G25" s="869" t="s">
        <v>29</v>
      </c>
    </row>
    <row r="26" spans="1:7" ht="15.75">
      <c r="A26" s="903">
        <v>44944</v>
      </c>
      <c r="B26" s="825" t="s">
        <v>53</v>
      </c>
      <c r="C26" s="869" t="s">
        <v>12</v>
      </c>
      <c r="D26" s="869" t="s">
        <v>13</v>
      </c>
      <c r="E26" s="870" t="s">
        <v>59</v>
      </c>
      <c r="F26" s="825" t="s">
        <v>21</v>
      </c>
      <c r="G26" s="869" t="s">
        <v>50</v>
      </c>
    </row>
    <row r="27" spans="1:7" ht="15.75">
      <c r="A27" s="903">
        <v>44945</v>
      </c>
      <c r="B27" s="884" t="s">
        <v>53</v>
      </c>
      <c r="C27" s="869" t="s">
        <v>12</v>
      </c>
      <c r="D27" s="869" t="s">
        <v>13</v>
      </c>
      <c r="E27" s="870" t="s">
        <v>50</v>
      </c>
      <c r="F27" s="884" t="s">
        <v>17</v>
      </c>
      <c r="G27" s="869" t="s">
        <v>21</v>
      </c>
    </row>
    <row r="28" spans="1:7" ht="15.75">
      <c r="A28" s="904">
        <v>44946</v>
      </c>
      <c r="B28" s="905" t="s">
        <v>21</v>
      </c>
      <c r="C28" s="1118" t="s">
        <v>86</v>
      </c>
      <c r="D28" s="1119"/>
      <c r="E28" s="1120"/>
      <c r="F28" s="905" t="s">
        <v>21</v>
      </c>
      <c r="G28" s="906" t="s">
        <v>14</v>
      </c>
    </row>
    <row r="29" spans="1:7" ht="15.75">
      <c r="A29" s="903">
        <v>44947</v>
      </c>
      <c r="B29" s="825" t="s">
        <v>53</v>
      </c>
      <c r="C29" s="869" t="s">
        <v>12</v>
      </c>
      <c r="D29" s="869" t="s">
        <v>13</v>
      </c>
      <c r="E29" s="870" t="s">
        <v>63</v>
      </c>
      <c r="F29" s="825" t="s">
        <v>21</v>
      </c>
      <c r="G29" s="869" t="s">
        <v>56</v>
      </c>
    </row>
    <row r="30" spans="1:7" ht="15.75">
      <c r="A30" s="903">
        <v>44948</v>
      </c>
      <c r="B30" s="884" t="s">
        <v>53</v>
      </c>
      <c r="C30" s="869" t="s">
        <v>12</v>
      </c>
      <c r="D30" s="869" t="s">
        <v>13</v>
      </c>
      <c r="E30" s="870" t="s">
        <v>59</v>
      </c>
      <c r="F30" s="884" t="s">
        <v>21</v>
      </c>
      <c r="G30" s="869" t="s">
        <v>50</v>
      </c>
    </row>
    <row r="31" spans="1:7" ht="15.75">
      <c r="A31" s="903">
        <v>44949</v>
      </c>
      <c r="B31" s="825" t="s">
        <v>62</v>
      </c>
      <c r="C31" s="869" t="s">
        <v>12</v>
      </c>
      <c r="D31" s="869" t="s">
        <v>13</v>
      </c>
      <c r="E31" s="870" t="s">
        <v>63</v>
      </c>
      <c r="F31" s="825" t="s">
        <v>17</v>
      </c>
      <c r="G31" s="869" t="s">
        <v>14</v>
      </c>
    </row>
    <row r="32" spans="1:7" ht="15.75">
      <c r="A32" s="903">
        <v>44950</v>
      </c>
      <c r="B32" s="884" t="s">
        <v>62</v>
      </c>
      <c r="C32" s="869" t="s">
        <v>12</v>
      </c>
      <c r="D32" s="869" t="s">
        <v>13</v>
      </c>
      <c r="E32" s="870" t="s">
        <v>59</v>
      </c>
      <c r="F32" s="884" t="s">
        <v>17</v>
      </c>
      <c r="G32" s="869" t="s">
        <v>29</v>
      </c>
    </row>
    <row r="33" spans="1:7" ht="15.75">
      <c r="A33" s="903">
        <v>44951</v>
      </c>
      <c r="B33" s="825" t="s">
        <v>62</v>
      </c>
      <c r="C33" s="869" t="s">
        <v>12</v>
      </c>
      <c r="D33" s="869" t="s">
        <v>13</v>
      </c>
      <c r="E33" s="870" t="s">
        <v>63</v>
      </c>
      <c r="F33" s="825" t="s">
        <v>17</v>
      </c>
      <c r="G33" s="869" t="s">
        <v>23</v>
      </c>
    </row>
    <row r="34" spans="1:7" ht="15.75">
      <c r="A34" s="903">
        <v>44952</v>
      </c>
      <c r="B34" s="884" t="s">
        <v>62</v>
      </c>
      <c r="C34" s="869" t="s">
        <v>12</v>
      </c>
      <c r="D34" s="869" t="s">
        <v>13</v>
      </c>
      <c r="E34" s="870" t="s">
        <v>50</v>
      </c>
      <c r="F34" s="884" t="s">
        <v>17</v>
      </c>
      <c r="G34" s="869" t="s">
        <v>50</v>
      </c>
    </row>
    <row r="35" spans="1:7" ht="15.75">
      <c r="A35" s="904">
        <v>44953</v>
      </c>
      <c r="B35" s="905" t="s">
        <v>21</v>
      </c>
      <c r="C35" s="1118" t="s">
        <v>14</v>
      </c>
      <c r="D35" s="1119"/>
      <c r="E35" s="1120"/>
      <c r="F35" s="905" t="s">
        <v>21</v>
      </c>
      <c r="G35" s="906" t="s">
        <v>14</v>
      </c>
    </row>
    <row r="36" spans="1:7" ht="15.75">
      <c r="A36" s="903">
        <v>44954</v>
      </c>
      <c r="B36" s="825" t="s">
        <v>53</v>
      </c>
      <c r="C36" s="869" t="s">
        <v>12</v>
      </c>
      <c r="D36" s="869" t="s">
        <v>13</v>
      </c>
      <c r="E36" s="870" t="s">
        <v>59</v>
      </c>
      <c r="F36" s="825" t="s">
        <v>21</v>
      </c>
      <c r="G36" s="869" t="s">
        <v>23</v>
      </c>
    </row>
    <row r="37" spans="1:7" ht="15.75">
      <c r="A37" s="903">
        <v>44955</v>
      </c>
      <c r="B37" s="884" t="s">
        <v>53</v>
      </c>
      <c r="C37" s="869" t="s">
        <v>12</v>
      </c>
      <c r="D37" s="869" t="s">
        <v>13</v>
      </c>
      <c r="E37" s="870" t="s">
        <v>63</v>
      </c>
      <c r="F37" s="884" t="s">
        <v>21</v>
      </c>
      <c r="G37" s="869" t="s">
        <v>14</v>
      </c>
    </row>
    <row r="38" spans="1:7" ht="15.75">
      <c r="A38" s="903">
        <v>44956</v>
      </c>
      <c r="B38" s="825" t="s">
        <v>85</v>
      </c>
      <c r="C38" s="869" t="s">
        <v>12</v>
      </c>
      <c r="D38" s="869" t="s">
        <v>13</v>
      </c>
      <c r="E38" s="870" t="s">
        <v>59</v>
      </c>
      <c r="F38" s="825" t="s">
        <v>21</v>
      </c>
      <c r="G38" s="869" t="s">
        <v>50</v>
      </c>
    </row>
    <row r="39" spans="1:7" ht="15.75">
      <c r="A39" s="903">
        <v>44957</v>
      </c>
      <c r="B39" s="884" t="s">
        <v>62</v>
      </c>
      <c r="C39" s="869" t="s">
        <v>12</v>
      </c>
      <c r="D39" s="869" t="s">
        <v>13</v>
      </c>
      <c r="E39" s="907" t="s">
        <v>61</v>
      </c>
      <c r="F39" s="884" t="s">
        <v>17</v>
      </c>
      <c r="G39" s="908" t="s">
        <v>29</v>
      </c>
    </row>
  </sheetData>
  <mergeCells count="12">
    <mergeCell ref="F6:G6"/>
    <mergeCell ref="C7:E7"/>
    <mergeCell ref="C14:E14"/>
    <mergeCell ref="F1:G5"/>
    <mergeCell ref="C21:E21"/>
    <mergeCell ref="C28:E28"/>
    <mergeCell ref="C35:E35"/>
    <mergeCell ref="A1:A4"/>
    <mergeCell ref="A6:A8"/>
    <mergeCell ref="B1:E4"/>
    <mergeCell ref="C5:D5"/>
    <mergeCell ref="B6:E6"/>
  </mergeCells>
  <pageMargins left="0.25" right="0.25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workbookViewId="0">
      <selection activeCell="I34" sqref="I34"/>
    </sheetView>
  </sheetViews>
  <sheetFormatPr baseColWidth="10" defaultColWidth="11" defaultRowHeight="15"/>
  <cols>
    <col min="1" max="1" width="25.7109375" customWidth="1"/>
    <col min="5" max="5" width="12.85546875" customWidth="1"/>
    <col min="6" max="6" width="10.5703125" customWidth="1"/>
    <col min="7" max="7" width="10.42578125" customWidth="1"/>
  </cols>
  <sheetData>
    <row r="1" spans="1:7">
      <c r="A1" s="1083"/>
      <c r="B1" s="1094" t="s">
        <v>87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 ht="10.5" customHeight="1">
      <c r="A4" s="1083"/>
      <c r="B4" s="1094"/>
      <c r="C4" s="1094"/>
      <c r="D4" s="1094"/>
      <c r="E4" s="1094"/>
      <c r="F4" s="1089"/>
      <c r="G4" s="1089"/>
    </row>
    <row r="5" spans="1:7" ht="18.75" customHeight="1">
      <c r="A5" s="431"/>
      <c r="B5" s="431"/>
      <c r="C5" s="1126">
        <v>2023</v>
      </c>
      <c r="D5" s="1126"/>
      <c r="E5" s="432"/>
      <c r="F5" s="1089"/>
      <c r="G5" s="1089"/>
    </row>
    <row r="6" spans="1:7" ht="15.75">
      <c r="A6" s="1105" t="s">
        <v>2</v>
      </c>
      <c r="B6" s="1108" t="s">
        <v>40</v>
      </c>
      <c r="C6" s="1108"/>
      <c r="D6" s="1108"/>
      <c r="E6" s="1108"/>
      <c r="F6" s="1108" t="s">
        <v>4</v>
      </c>
      <c r="G6" s="1109"/>
    </row>
    <row r="7" spans="1:7" ht="15.75">
      <c r="A7" s="1106"/>
      <c r="B7" s="864" t="s">
        <v>5</v>
      </c>
      <c r="C7" s="1110" t="s">
        <v>6</v>
      </c>
      <c r="D7" s="1110"/>
      <c r="E7" s="1110"/>
      <c r="F7" s="1127" t="s">
        <v>5</v>
      </c>
      <c r="G7" s="1129" t="s">
        <v>6</v>
      </c>
    </row>
    <row r="8" spans="1:7" ht="15.75">
      <c r="A8" s="1106"/>
      <c r="B8" s="865"/>
      <c r="C8" s="866" t="s">
        <v>8</v>
      </c>
      <c r="D8" s="866" t="s">
        <v>9</v>
      </c>
      <c r="E8" s="866" t="s">
        <v>10</v>
      </c>
      <c r="F8" s="1128"/>
      <c r="G8" s="1130"/>
    </row>
    <row r="9" spans="1:7" ht="20.25" customHeight="1">
      <c r="A9" s="824">
        <v>44958</v>
      </c>
      <c r="B9" s="884" t="s">
        <v>71</v>
      </c>
      <c r="C9" s="869" t="s">
        <v>12</v>
      </c>
      <c r="D9" s="869" t="s">
        <v>13</v>
      </c>
      <c r="E9" s="870" t="s">
        <v>63</v>
      </c>
      <c r="F9" s="884" t="s">
        <v>17</v>
      </c>
      <c r="G9" s="885" t="s">
        <v>50</v>
      </c>
    </row>
    <row r="10" spans="1:7" ht="20.25" customHeight="1">
      <c r="A10" s="824">
        <v>44959</v>
      </c>
      <c r="B10" s="884" t="s">
        <v>71</v>
      </c>
      <c r="C10" s="869" t="s">
        <v>12</v>
      </c>
      <c r="D10" s="869" t="s">
        <v>13</v>
      </c>
      <c r="E10" s="870" t="s">
        <v>63</v>
      </c>
      <c r="F10" s="825" t="s">
        <v>17</v>
      </c>
      <c r="G10" s="885" t="s">
        <v>23</v>
      </c>
    </row>
    <row r="11" spans="1:7" ht="20.25" customHeight="1">
      <c r="A11" s="824">
        <v>44960</v>
      </c>
      <c r="B11" s="872" t="s">
        <v>21</v>
      </c>
      <c r="C11" s="1122" t="s">
        <v>50</v>
      </c>
      <c r="D11" s="1123"/>
      <c r="E11" s="1124"/>
      <c r="F11" s="872" t="s">
        <v>21</v>
      </c>
      <c r="G11" s="888" t="s">
        <v>50</v>
      </c>
    </row>
    <row r="12" spans="1:7" ht="20.25" customHeight="1">
      <c r="A12" s="824">
        <v>44961</v>
      </c>
      <c r="B12" s="825" t="s">
        <v>53</v>
      </c>
      <c r="C12" s="869" t="s">
        <v>12</v>
      </c>
      <c r="D12" s="869" t="s">
        <v>13</v>
      </c>
      <c r="E12" s="870" t="s">
        <v>61</v>
      </c>
      <c r="F12" s="825" t="s">
        <v>21</v>
      </c>
      <c r="G12" s="885" t="s">
        <v>23</v>
      </c>
    </row>
    <row r="13" spans="1:7" ht="20.25" customHeight="1">
      <c r="A13" s="824">
        <v>44962</v>
      </c>
      <c r="B13" s="884" t="s">
        <v>71</v>
      </c>
      <c r="C13" s="869" t="s">
        <v>12</v>
      </c>
      <c r="D13" s="869" t="s">
        <v>13</v>
      </c>
      <c r="E13" s="870" t="s">
        <v>61</v>
      </c>
      <c r="F13" s="886" t="s">
        <v>17</v>
      </c>
      <c r="G13" s="885" t="s">
        <v>14</v>
      </c>
    </row>
    <row r="14" spans="1:7" ht="20.25" customHeight="1">
      <c r="A14" s="824">
        <v>44963</v>
      </c>
      <c r="B14" s="884" t="s">
        <v>71</v>
      </c>
      <c r="C14" s="869" t="s">
        <v>12</v>
      </c>
      <c r="D14" s="869" t="s">
        <v>13</v>
      </c>
      <c r="E14" s="870" t="s">
        <v>88</v>
      </c>
      <c r="F14" s="884" t="s">
        <v>17</v>
      </c>
      <c r="G14" s="885" t="s">
        <v>50</v>
      </c>
    </row>
    <row r="15" spans="1:7" ht="20.25" customHeight="1">
      <c r="A15" s="824">
        <v>44964</v>
      </c>
      <c r="B15" s="825" t="s">
        <v>71</v>
      </c>
      <c r="C15" s="869" t="s">
        <v>12</v>
      </c>
      <c r="D15" s="869" t="s">
        <v>13</v>
      </c>
      <c r="E15" s="870" t="s">
        <v>61</v>
      </c>
      <c r="F15" s="825" t="s">
        <v>17</v>
      </c>
      <c r="G15" s="885" t="s">
        <v>29</v>
      </c>
    </row>
    <row r="16" spans="1:7" ht="20.25" customHeight="1">
      <c r="A16" s="824">
        <v>44965</v>
      </c>
      <c r="B16" s="884" t="s">
        <v>71</v>
      </c>
      <c r="C16" s="869" t="s">
        <v>12</v>
      </c>
      <c r="D16" s="869" t="s">
        <v>13</v>
      </c>
      <c r="E16" s="870" t="s">
        <v>61</v>
      </c>
      <c r="F16" s="884" t="s">
        <v>17</v>
      </c>
      <c r="G16" s="885" t="s">
        <v>14</v>
      </c>
    </row>
    <row r="17" spans="1:7" ht="20.25" customHeight="1">
      <c r="A17" s="824">
        <v>44966</v>
      </c>
      <c r="B17" s="825" t="s">
        <v>53</v>
      </c>
      <c r="C17" s="869" t="s">
        <v>12</v>
      </c>
      <c r="D17" s="869" t="s">
        <v>13</v>
      </c>
      <c r="E17" s="870" t="s">
        <v>89</v>
      </c>
      <c r="F17" s="825" t="s">
        <v>21</v>
      </c>
      <c r="G17" s="885" t="s">
        <v>50</v>
      </c>
    </row>
    <row r="18" spans="1:7" ht="20.25" customHeight="1">
      <c r="A18" s="824">
        <v>44967</v>
      </c>
      <c r="B18" s="872" t="s">
        <v>21</v>
      </c>
      <c r="C18" s="1122" t="s">
        <v>50</v>
      </c>
      <c r="D18" s="1123"/>
      <c r="E18" s="1124"/>
      <c r="F18" s="872" t="s">
        <v>21</v>
      </c>
      <c r="G18" s="888" t="s">
        <v>50</v>
      </c>
    </row>
    <row r="19" spans="1:7" ht="20.25" customHeight="1">
      <c r="A19" s="824">
        <v>44968</v>
      </c>
      <c r="B19" s="825" t="s">
        <v>53</v>
      </c>
      <c r="C19" s="869" t="s">
        <v>12</v>
      </c>
      <c r="D19" s="869" t="s">
        <v>13</v>
      </c>
      <c r="E19" s="870" t="s">
        <v>63</v>
      </c>
      <c r="F19" s="825" t="s">
        <v>21</v>
      </c>
      <c r="G19" s="885" t="s">
        <v>23</v>
      </c>
    </row>
    <row r="20" spans="1:7" ht="20.25" customHeight="1">
      <c r="A20" s="824">
        <v>44969</v>
      </c>
      <c r="B20" s="884" t="s">
        <v>53</v>
      </c>
      <c r="C20" s="869" t="s">
        <v>12</v>
      </c>
      <c r="D20" s="869" t="s">
        <v>13</v>
      </c>
      <c r="E20" s="870" t="s">
        <v>88</v>
      </c>
      <c r="F20" s="884" t="s">
        <v>21</v>
      </c>
      <c r="G20" s="885" t="s">
        <v>50</v>
      </c>
    </row>
    <row r="21" spans="1:7" ht="20.25" customHeight="1">
      <c r="A21" s="824">
        <v>44970</v>
      </c>
      <c r="B21" s="884" t="s">
        <v>71</v>
      </c>
      <c r="C21" s="869" t="s">
        <v>12</v>
      </c>
      <c r="D21" s="869" t="s">
        <v>13</v>
      </c>
      <c r="E21" s="870" t="s">
        <v>61</v>
      </c>
      <c r="F21" s="884" t="s">
        <v>17</v>
      </c>
      <c r="G21" s="885" t="s">
        <v>14</v>
      </c>
    </row>
    <row r="22" spans="1:7" ht="20.25" customHeight="1">
      <c r="A22" s="824">
        <v>44971</v>
      </c>
      <c r="B22" s="825" t="s">
        <v>71</v>
      </c>
      <c r="C22" s="869" t="s">
        <v>12</v>
      </c>
      <c r="D22" s="869" t="s">
        <v>13</v>
      </c>
      <c r="E22" s="870" t="s">
        <v>63</v>
      </c>
      <c r="F22" s="825" t="s">
        <v>17</v>
      </c>
      <c r="G22" s="885" t="s">
        <v>29</v>
      </c>
    </row>
    <row r="23" spans="1:7" ht="20.25" customHeight="1">
      <c r="A23" s="824">
        <v>44972</v>
      </c>
      <c r="B23" s="884" t="s">
        <v>53</v>
      </c>
      <c r="C23" s="869" t="s">
        <v>12</v>
      </c>
      <c r="D23" s="869" t="s">
        <v>13</v>
      </c>
      <c r="E23" s="870" t="s">
        <v>88</v>
      </c>
      <c r="F23" s="884" t="s">
        <v>17</v>
      </c>
      <c r="G23" s="885" t="s">
        <v>50</v>
      </c>
    </row>
    <row r="24" spans="1:7" ht="20.25" customHeight="1">
      <c r="A24" s="824">
        <v>44973</v>
      </c>
      <c r="B24" s="884" t="s">
        <v>53</v>
      </c>
      <c r="C24" s="869" t="s">
        <v>12</v>
      </c>
      <c r="D24" s="869" t="s">
        <v>13</v>
      </c>
      <c r="E24" s="870" t="s">
        <v>63</v>
      </c>
      <c r="F24" s="825" t="s">
        <v>21</v>
      </c>
      <c r="G24" s="885" t="s">
        <v>17</v>
      </c>
    </row>
    <row r="25" spans="1:7" ht="20.25" customHeight="1">
      <c r="A25" s="824">
        <v>44974</v>
      </c>
      <c r="B25" s="872" t="s">
        <v>17</v>
      </c>
      <c r="C25" s="1122" t="s">
        <v>21</v>
      </c>
      <c r="D25" s="1123"/>
      <c r="E25" s="1124"/>
      <c r="F25" s="872" t="s">
        <v>17</v>
      </c>
      <c r="G25" s="888" t="s">
        <v>21</v>
      </c>
    </row>
    <row r="26" spans="1:7" ht="20.25" customHeight="1">
      <c r="A26" s="824">
        <v>44975</v>
      </c>
      <c r="B26" s="825" t="s">
        <v>71</v>
      </c>
      <c r="C26" s="869" t="s">
        <v>12</v>
      </c>
      <c r="D26" s="869" t="s">
        <v>13</v>
      </c>
      <c r="E26" s="870" t="s">
        <v>88</v>
      </c>
      <c r="F26" s="825" t="s">
        <v>17</v>
      </c>
      <c r="G26" s="885" t="s">
        <v>50</v>
      </c>
    </row>
    <row r="27" spans="1:7" ht="20.25" customHeight="1">
      <c r="A27" s="824">
        <v>44976</v>
      </c>
      <c r="B27" s="884" t="s">
        <v>53</v>
      </c>
      <c r="C27" s="869" t="s">
        <v>12</v>
      </c>
      <c r="D27" s="869" t="s">
        <v>13</v>
      </c>
      <c r="E27" s="870" t="s">
        <v>61</v>
      </c>
      <c r="F27" s="884" t="s">
        <v>21</v>
      </c>
      <c r="G27" s="885" t="s">
        <v>14</v>
      </c>
    </row>
    <row r="28" spans="1:7" ht="20.25" customHeight="1">
      <c r="A28" s="824">
        <v>44977</v>
      </c>
      <c r="B28" s="884" t="s">
        <v>53</v>
      </c>
      <c r="C28" s="869" t="s">
        <v>50</v>
      </c>
      <c r="D28" s="869" t="s">
        <v>13</v>
      </c>
      <c r="E28" s="870" t="s">
        <v>63</v>
      </c>
      <c r="F28" s="884" t="s">
        <v>21</v>
      </c>
      <c r="G28" s="885" t="s">
        <v>17</v>
      </c>
    </row>
    <row r="29" spans="1:7" ht="20.25" customHeight="1">
      <c r="A29" s="824">
        <v>44978</v>
      </c>
      <c r="B29" s="825" t="s">
        <v>71</v>
      </c>
      <c r="C29" s="869" t="s">
        <v>21</v>
      </c>
      <c r="D29" s="869" t="s">
        <v>13</v>
      </c>
      <c r="E29" s="870" t="s">
        <v>63</v>
      </c>
      <c r="F29" s="825" t="s">
        <v>17</v>
      </c>
      <c r="G29" s="885" t="s">
        <v>29</v>
      </c>
    </row>
    <row r="30" spans="1:7" ht="20.25" customHeight="1">
      <c r="A30" s="824">
        <v>44979</v>
      </c>
      <c r="B30" s="884" t="s">
        <v>71</v>
      </c>
      <c r="C30" s="869" t="s">
        <v>17</v>
      </c>
      <c r="D30" s="869" t="s">
        <v>13</v>
      </c>
      <c r="E30" s="870" t="s">
        <v>88</v>
      </c>
      <c r="F30" s="884" t="s">
        <v>17</v>
      </c>
      <c r="G30" s="885" t="s">
        <v>23</v>
      </c>
    </row>
    <row r="31" spans="1:7" ht="20.25" customHeight="1">
      <c r="A31" s="824">
        <v>44980</v>
      </c>
      <c r="B31" s="884" t="s">
        <v>53</v>
      </c>
      <c r="C31" s="869" t="s">
        <v>21</v>
      </c>
      <c r="D31" s="869" t="s">
        <v>13</v>
      </c>
      <c r="E31" s="870" t="s">
        <v>63</v>
      </c>
      <c r="F31" s="825" t="s">
        <v>21</v>
      </c>
      <c r="G31" s="885" t="s">
        <v>17</v>
      </c>
    </row>
    <row r="32" spans="1:7" ht="20.25" customHeight="1">
      <c r="A32" s="824">
        <v>44981</v>
      </c>
      <c r="B32" s="872" t="s">
        <v>21</v>
      </c>
      <c r="C32" s="1122" t="s">
        <v>14</v>
      </c>
      <c r="D32" s="1123"/>
      <c r="E32" s="1124"/>
      <c r="F32" s="872" t="s">
        <v>21</v>
      </c>
      <c r="G32" s="888" t="s">
        <v>14</v>
      </c>
    </row>
    <row r="33" spans="1:11" ht="20.25" customHeight="1">
      <c r="A33" s="824">
        <v>44982</v>
      </c>
      <c r="B33" s="825" t="s">
        <v>90</v>
      </c>
      <c r="C33" s="869" t="s">
        <v>12</v>
      </c>
      <c r="D33" s="869" t="s">
        <v>13</v>
      </c>
      <c r="E33" s="870" t="s">
        <v>61</v>
      </c>
      <c r="F33" s="825" t="s">
        <v>17</v>
      </c>
      <c r="G33" s="885" t="s">
        <v>21</v>
      </c>
    </row>
    <row r="34" spans="1:11" ht="20.25" customHeight="1">
      <c r="A34" s="824">
        <v>44983</v>
      </c>
      <c r="B34" s="884" t="s">
        <v>62</v>
      </c>
      <c r="C34" s="869" t="s">
        <v>12</v>
      </c>
      <c r="D34" s="869" t="s">
        <v>13</v>
      </c>
      <c r="E34" s="870" t="s">
        <v>63</v>
      </c>
      <c r="F34" s="884" t="s">
        <v>17</v>
      </c>
      <c r="G34" s="885" t="s">
        <v>21</v>
      </c>
    </row>
    <row r="35" spans="1:11" ht="20.25" customHeight="1">
      <c r="A35" s="824">
        <v>44984</v>
      </c>
      <c r="B35" s="884" t="s">
        <v>21</v>
      </c>
      <c r="C35" s="869" t="s">
        <v>12</v>
      </c>
      <c r="D35" s="869" t="s">
        <v>13</v>
      </c>
      <c r="E35" s="870" t="s">
        <v>61</v>
      </c>
      <c r="F35" s="884" t="s">
        <v>21</v>
      </c>
      <c r="G35" s="885" t="s">
        <v>91</v>
      </c>
    </row>
    <row r="36" spans="1:11" ht="20.25" customHeight="1">
      <c r="A36" s="859">
        <v>44985</v>
      </c>
      <c r="B36" s="889" t="s">
        <v>53</v>
      </c>
      <c r="C36" s="891" t="s">
        <v>12</v>
      </c>
      <c r="D36" s="891" t="s">
        <v>13</v>
      </c>
      <c r="E36" s="892" t="s">
        <v>63</v>
      </c>
      <c r="F36" s="889" t="s">
        <v>21</v>
      </c>
      <c r="G36" s="893" t="s">
        <v>29</v>
      </c>
    </row>
    <row r="37" spans="1:11" ht="15.75">
      <c r="A37" s="894"/>
      <c r="B37" s="895"/>
      <c r="C37" s="896"/>
      <c r="D37" s="896"/>
      <c r="E37" s="897"/>
      <c r="F37" s="895"/>
      <c r="G37" s="896"/>
    </row>
    <row r="38" spans="1:11" ht="15.75">
      <c r="A38" s="894"/>
      <c r="B38" s="895"/>
      <c r="C38" s="1125"/>
      <c r="D38" s="1125"/>
      <c r="E38" s="1125"/>
      <c r="F38" s="895"/>
      <c r="G38" s="896"/>
      <c r="K38" s="796"/>
    </row>
    <row r="39" spans="1:11" ht="15.75">
      <c r="A39" s="894"/>
      <c r="B39" s="895"/>
      <c r="C39" s="896"/>
      <c r="D39" s="896"/>
      <c r="E39" s="898"/>
      <c r="F39" s="895"/>
      <c r="G39" s="899"/>
    </row>
  </sheetData>
  <mergeCells count="15">
    <mergeCell ref="F1:G5"/>
    <mergeCell ref="F6:G6"/>
    <mergeCell ref="C7:E7"/>
    <mergeCell ref="C11:E11"/>
    <mergeCell ref="F7:F8"/>
    <mergeCell ref="G7:G8"/>
    <mergeCell ref="C18:E18"/>
    <mergeCell ref="C25:E25"/>
    <mergeCell ref="C32:E32"/>
    <mergeCell ref="C38:E38"/>
    <mergeCell ref="A1:A4"/>
    <mergeCell ref="A6:A8"/>
    <mergeCell ref="B1:E4"/>
    <mergeCell ref="C5:D5"/>
    <mergeCell ref="B6:E6"/>
  </mergeCells>
  <pageMargins left="0.25" right="0.25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topLeftCell="A6" workbookViewId="0">
      <selection activeCell="G38" sqref="G38"/>
    </sheetView>
  </sheetViews>
  <sheetFormatPr baseColWidth="10" defaultColWidth="11" defaultRowHeight="15"/>
  <cols>
    <col min="1" max="1" width="29.42578125" customWidth="1"/>
    <col min="7" max="7" width="11.5703125" customWidth="1"/>
  </cols>
  <sheetData>
    <row r="1" spans="1:7">
      <c r="A1" s="1083"/>
      <c r="B1" s="1094" t="s">
        <v>92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>
      <c r="A4" s="1083"/>
      <c r="B4" s="1094"/>
      <c r="C4" s="1094"/>
      <c r="D4" s="1094"/>
      <c r="E4" s="1094"/>
      <c r="F4" s="1089"/>
      <c r="G4" s="1089"/>
    </row>
    <row r="5" spans="1:7" ht="15.75">
      <c r="A5" s="431"/>
      <c r="B5" s="431"/>
      <c r="C5" s="1090">
        <v>2023</v>
      </c>
      <c r="D5" s="1090"/>
      <c r="E5" s="432"/>
      <c r="F5" s="1089"/>
      <c r="G5" s="1089"/>
    </row>
    <row r="6" spans="1:7" ht="15.75">
      <c r="A6" s="1105" t="s">
        <v>2</v>
      </c>
      <c r="B6" s="1108" t="s">
        <v>40</v>
      </c>
      <c r="C6" s="1108"/>
      <c r="D6" s="1108"/>
      <c r="E6" s="1108"/>
      <c r="F6" s="1108" t="s">
        <v>4</v>
      </c>
      <c r="G6" s="1109"/>
    </row>
    <row r="7" spans="1:7" ht="15.75">
      <c r="A7" s="1106"/>
      <c r="B7" s="864" t="s">
        <v>5</v>
      </c>
      <c r="C7" s="1110" t="s">
        <v>6</v>
      </c>
      <c r="D7" s="1110"/>
      <c r="E7" s="1110"/>
      <c r="F7" s="1114" t="s">
        <v>5</v>
      </c>
      <c r="G7" s="1115" t="s">
        <v>6</v>
      </c>
    </row>
    <row r="8" spans="1:7" ht="15.75">
      <c r="A8" s="1106"/>
      <c r="B8" s="865"/>
      <c r="C8" s="866" t="s">
        <v>8</v>
      </c>
      <c r="D8" s="866" t="s">
        <v>9</v>
      </c>
      <c r="E8" s="866" t="s">
        <v>10</v>
      </c>
      <c r="F8" s="1114"/>
      <c r="G8" s="1115"/>
    </row>
    <row r="9" spans="1:7" ht="20.25" customHeight="1">
      <c r="A9" s="824">
        <v>45017</v>
      </c>
      <c r="B9" s="884" t="s">
        <v>53</v>
      </c>
      <c r="C9" s="869" t="s">
        <v>12</v>
      </c>
      <c r="D9" s="869" t="s">
        <v>13</v>
      </c>
      <c r="E9" s="870" t="s">
        <v>63</v>
      </c>
      <c r="F9" s="884" t="s">
        <v>21</v>
      </c>
      <c r="G9" s="885" t="s">
        <v>93</v>
      </c>
    </row>
    <row r="10" spans="1:7" ht="20.25" customHeight="1">
      <c r="A10" s="824">
        <v>45018</v>
      </c>
      <c r="B10" s="884" t="s">
        <v>53</v>
      </c>
      <c r="C10" s="869" t="s">
        <v>12</v>
      </c>
      <c r="D10" s="869" t="s">
        <v>13</v>
      </c>
      <c r="E10" s="870" t="s">
        <v>63</v>
      </c>
      <c r="F10" s="825" t="s">
        <v>21</v>
      </c>
      <c r="G10" s="885" t="s">
        <v>23</v>
      </c>
    </row>
    <row r="11" spans="1:7" ht="20.25" customHeight="1">
      <c r="A11" s="824">
        <v>45019</v>
      </c>
      <c r="B11" s="825" t="s">
        <v>62</v>
      </c>
      <c r="C11" s="869" t="s">
        <v>12</v>
      </c>
      <c r="D11" s="869" t="s">
        <v>13</v>
      </c>
      <c r="E11" s="870" t="s">
        <v>63</v>
      </c>
      <c r="F11" s="825" t="s">
        <v>17</v>
      </c>
      <c r="G11" s="885" t="s">
        <v>63</v>
      </c>
    </row>
    <row r="12" spans="1:7" ht="20.25" customHeight="1">
      <c r="A12" s="824">
        <v>45020</v>
      </c>
      <c r="B12" s="825" t="s">
        <v>62</v>
      </c>
      <c r="C12" s="869" t="s">
        <v>12</v>
      </c>
      <c r="D12" s="869" t="s">
        <v>13</v>
      </c>
      <c r="E12" s="870" t="s">
        <v>61</v>
      </c>
      <c r="F12" s="825" t="s">
        <v>17</v>
      </c>
      <c r="G12" s="885" t="s">
        <v>29</v>
      </c>
    </row>
    <row r="13" spans="1:7" ht="20.25" customHeight="1">
      <c r="A13" s="824">
        <v>45021</v>
      </c>
      <c r="B13" s="884" t="s">
        <v>53</v>
      </c>
      <c r="C13" s="869" t="s">
        <v>12</v>
      </c>
      <c r="D13" s="869" t="s">
        <v>13</v>
      </c>
      <c r="E13" s="870" t="s">
        <v>61</v>
      </c>
      <c r="F13" s="886" t="s">
        <v>21</v>
      </c>
      <c r="G13" s="885" t="s">
        <v>94</v>
      </c>
    </row>
    <row r="14" spans="1:7" ht="20.25" customHeight="1">
      <c r="A14" s="824">
        <v>45022</v>
      </c>
      <c r="B14" s="884" t="s">
        <v>53</v>
      </c>
      <c r="C14" s="869" t="s">
        <v>12</v>
      </c>
      <c r="D14" s="869" t="s">
        <v>13</v>
      </c>
      <c r="E14" s="870" t="s">
        <v>63</v>
      </c>
      <c r="F14" s="884" t="s">
        <v>21</v>
      </c>
      <c r="G14" s="885" t="s">
        <v>23</v>
      </c>
    </row>
    <row r="15" spans="1:7" ht="20.25" customHeight="1">
      <c r="A15" s="824">
        <v>45023</v>
      </c>
      <c r="B15" s="872" t="s">
        <v>17</v>
      </c>
      <c r="C15" s="874"/>
      <c r="D15" s="874" t="s">
        <v>21</v>
      </c>
      <c r="E15" s="887"/>
      <c r="F15" s="872" t="s">
        <v>17</v>
      </c>
      <c r="G15" s="888" t="s">
        <v>21</v>
      </c>
    </row>
    <row r="16" spans="1:7" ht="20.25" customHeight="1">
      <c r="A16" s="824">
        <v>45024</v>
      </c>
      <c r="B16" s="884" t="s">
        <v>62</v>
      </c>
      <c r="C16" s="869" t="s">
        <v>12</v>
      </c>
      <c r="D16" s="869" t="s">
        <v>13</v>
      </c>
      <c r="E16" s="870" t="s">
        <v>61</v>
      </c>
      <c r="F16" s="884" t="s">
        <v>17</v>
      </c>
      <c r="G16" s="885" t="s">
        <v>21</v>
      </c>
    </row>
    <row r="17" spans="1:7" ht="20.25" customHeight="1">
      <c r="A17" s="824">
        <v>45025</v>
      </c>
      <c r="B17" s="825" t="s">
        <v>53</v>
      </c>
      <c r="C17" s="869" t="s">
        <v>12</v>
      </c>
      <c r="D17" s="869" t="s">
        <v>13</v>
      </c>
      <c r="E17" s="870" t="s">
        <v>63</v>
      </c>
      <c r="F17" s="825" t="s">
        <v>21</v>
      </c>
      <c r="G17" s="885" t="s">
        <v>63</v>
      </c>
    </row>
    <row r="18" spans="1:7" ht="20.25" customHeight="1">
      <c r="A18" s="824">
        <v>45026</v>
      </c>
      <c r="B18" s="825" t="s">
        <v>53</v>
      </c>
      <c r="C18" s="869" t="s">
        <v>12</v>
      </c>
      <c r="D18" s="869" t="s">
        <v>13</v>
      </c>
      <c r="E18" s="870" t="s">
        <v>63</v>
      </c>
      <c r="F18" s="825" t="s">
        <v>21</v>
      </c>
      <c r="G18" s="885" t="s">
        <v>93</v>
      </c>
    </row>
    <row r="19" spans="1:7" ht="20.25" customHeight="1">
      <c r="A19" s="824">
        <v>45027</v>
      </c>
      <c r="B19" s="825" t="s">
        <v>62</v>
      </c>
      <c r="C19" s="869" t="s">
        <v>12</v>
      </c>
      <c r="D19" s="869" t="s">
        <v>13</v>
      </c>
      <c r="E19" s="870" t="s">
        <v>63</v>
      </c>
      <c r="F19" s="825" t="s">
        <v>17</v>
      </c>
      <c r="G19" s="885" t="s">
        <v>29</v>
      </c>
    </row>
    <row r="20" spans="1:7" ht="20.25" customHeight="1">
      <c r="A20" s="824">
        <v>45028</v>
      </c>
      <c r="B20" s="884" t="s">
        <v>62</v>
      </c>
      <c r="C20" s="869" t="s">
        <v>12</v>
      </c>
      <c r="D20" s="869" t="s">
        <v>13</v>
      </c>
      <c r="E20" s="870" t="s">
        <v>63</v>
      </c>
      <c r="F20" s="884" t="s">
        <v>17</v>
      </c>
      <c r="G20" s="885" t="s">
        <v>63</v>
      </c>
    </row>
    <row r="21" spans="1:7" ht="20.25" customHeight="1">
      <c r="A21" s="824">
        <v>45029</v>
      </c>
      <c r="B21" s="884" t="s">
        <v>53</v>
      </c>
      <c r="C21" s="869" t="s">
        <v>12</v>
      </c>
      <c r="D21" s="869" t="s">
        <v>13</v>
      </c>
      <c r="E21" s="870" t="s">
        <v>61</v>
      </c>
      <c r="F21" s="884" t="s">
        <v>21</v>
      </c>
      <c r="G21" s="885" t="s">
        <v>93</v>
      </c>
    </row>
    <row r="22" spans="1:7" ht="20.25" customHeight="1">
      <c r="A22" s="824">
        <v>45030</v>
      </c>
      <c r="B22" s="872" t="s">
        <v>17</v>
      </c>
      <c r="C22" s="874" t="s">
        <v>21</v>
      </c>
      <c r="D22" s="874"/>
      <c r="E22" s="887"/>
      <c r="F22" s="872" t="s">
        <v>21</v>
      </c>
      <c r="G22" s="888" t="s">
        <v>93</v>
      </c>
    </row>
    <row r="23" spans="1:7" ht="20.25" customHeight="1">
      <c r="A23" s="824">
        <v>45031</v>
      </c>
      <c r="B23" s="884" t="s">
        <v>62</v>
      </c>
      <c r="C23" s="869" t="s">
        <v>12</v>
      </c>
      <c r="D23" s="869" t="s">
        <v>13</v>
      </c>
      <c r="E23" s="870" t="s">
        <v>63</v>
      </c>
      <c r="F23" s="884" t="s">
        <v>17</v>
      </c>
      <c r="G23" s="885" t="s">
        <v>23</v>
      </c>
    </row>
    <row r="24" spans="1:7" ht="20.25" customHeight="1">
      <c r="A24" s="824">
        <v>45032</v>
      </c>
      <c r="B24" s="884" t="s">
        <v>62</v>
      </c>
      <c r="C24" s="869" t="s">
        <v>12</v>
      </c>
      <c r="D24" s="869" t="s">
        <v>13</v>
      </c>
      <c r="E24" s="870" t="s">
        <v>63</v>
      </c>
      <c r="F24" s="825" t="s">
        <v>17</v>
      </c>
      <c r="G24" s="885" t="s">
        <v>63</v>
      </c>
    </row>
    <row r="25" spans="1:7" ht="20.25" customHeight="1">
      <c r="A25" s="824">
        <v>45033</v>
      </c>
      <c r="B25" s="825" t="s">
        <v>53</v>
      </c>
      <c r="C25" s="869" t="s">
        <v>12</v>
      </c>
      <c r="D25" s="869" t="s">
        <v>13</v>
      </c>
      <c r="E25" s="870" t="s">
        <v>63</v>
      </c>
      <c r="F25" s="825" t="s">
        <v>21</v>
      </c>
      <c r="G25" s="885" t="s">
        <v>93</v>
      </c>
    </row>
    <row r="26" spans="1:7" ht="20.25" customHeight="1">
      <c r="A26" s="824">
        <v>45034</v>
      </c>
      <c r="B26" s="825" t="s">
        <v>53</v>
      </c>
      <c r="C26" s="869" t="s">
        <v>12</v>
      </c>
      <c r="D26" s="869" t="s">
        <v>13</v>
      </c>
      <c r="E26" s="870" t="s">
        <v>63</v>
      </c>
      <c r="F26" s="825" t="s">
        <v>21</v>
      </c>
      <c r="G26" s="885" t="s">
        <v>29</v>
      </c>
    </row>
    <row r="27" spans="1:7" ht="20.25" customHeight="1">
      <c r="A27" s="824">
        <v>45035</v>
      </c>
      <c r="B27" s="884" t="s">
        <v>62</v>
      </c>
      <c r="C27" s="869" t="s">
        <v>12</v>
      </c>
      <c r="D27" s="869" t="s">
        <v>13</v>
      </c>
      <c r="E27" s="870" t="s">
        <v>61</v>
      </c>
      <c r="F27" s="884" t="s">
        <v>17</v>
      </c>
      <c r="G27" s="885" t="s">
        <v>63</v>
      </c>
    </row>
    <row r="28" spans="1:7" ht="20.25" customHeight="1">
      <c r="A28" s="824">
        <v>45036</v>
      </c>
      <c r="B28" s="884" t="s">
        <v>62</v>
      </c>
      <c r="C28" s="869" t="s">
        <v>12</v>
      </c>
      <c r="D28" s="869" t="s">
        <v>13</v>
      </c>
      <c r="E28" s="870" t="s">
        <v>63</v>
      </c>
      <c r="F28" s="884" t="s">
        <v>17</v>
      </c>
      <c r="G28" s="885" t="s">
        <v>21</v>
      </c>
    </row>
    <row r="29" spans="1:7" ht="20.25" customHeight="1">
      <c r="A29" s="824">
        <v>45037</v>
      </c>
      <c r="B29" s="872" t="s">
        <v>83</v>
      </c>
      <c r="C29" s="874" t="s">
        <v>95</v>
      </c>
      <c r="D29" s="874" t="s">
        <v>17</v>
      </c>
      <c r="E29" s="887"/>
      <c r="F29" s="872" t="s">
        <v>83</v>
      </c>
      <c r="G29" s="888" t="s">
        <v>80</v>
      </c>
    </row>
    <row r="30" spans="1:7" ht="20.25" customHeight="1">
      <c r="A30" s="824">
        <v>45038</v>
      </c>
      <c r="B30" s="884" t="s">
        <v>53</v>
      </c>
      <c r="C30" s="869" t="s">
        <v>12</v>
      </c>
      <c r="D30" s="869" t="s">
        <v>13</v>
      </c>
      <c r="E30" s="870" t="s">
        <v>63</v>
      </c>
      <c r="F30" s="884" t="s">
        <v>21</v>
      </c>
      <c r="G30" s="885" t="s">
        <v>93</v>
      </c>
    </row>
    <row r="31" spans="1:7" ht="20.25" customHeight="1">
      <c r="A31" s="824">
        <v>45039</v>
      </c>
      <c r="B31" s="884" t="s">
        <v>62</v>
      </c>
      <c r="C31" s="869" t="s">
        <v>12</v>
      </c>
      <c r="D31" s="869" t="s">
        <v>13</v>
      </c>
      <c r="E31" s="870" t="s">
        <v>63</v>
      </c>
      <c r="F31" s="825" t="s">
        <v>17</v>
      </c>
      <c r="G31" s="885" t="s">
        <v>23</v>
      </c>
    </row>
    <row r="32" spans="1:7" ht="20.25" customHeight="1">
      <c r="A32" s="824">
        <v>45040</v>
      </c>
      <c r="B32" s="825" t="s">
        <v>62</v>
      </c>
      <c r="C32" s="869" t="s">
        <v>12</v>
      </c>
      <c r="D32" s="869" t="s">
        <v>13</v>
      </c>
      <c r="E32" s="870" t="s">
        <v>63</v>
      </c>
      <c r="F32" s="825" t="s">
        <v>17</v>
      </c>
      <c r="G32" s="885" t="s">
        <v>63</v>
      </c>
    </row>
    <row r="33" spans="1:7" ht="20.25" customHeight="1">
      <c r="A33" s="824">
        <v>45041</v>
      </c>
      <c r="B33" s="825" t="s">
        <v>53</v>
      </c>
      <c r="C33" s="869" t="s">
        <v>12</v>
      </c>
      <c r="D33" s="869" t="s">
        <v>13</v>
      </c>
      <c r="E33" s="870" t="s">
        <v>61</v>
      </c>
      <c r="F33" s="825" t="s">
        <v>21</v>
      </c>
      <c r="G33" s="885" t="s">
        <v>29</v>
      </c>
    </row>
    <row r="34" spans="1:7" ht="20.25" customHeight="1">
      <c r="A34" s="824">
        <v>45042</v>
      </c>
      <c r="B34" s="884" t="s">
        <v>53</v>
      </c>
      <c r="C34" s="869" t="s">
        <v>12</v>
      </c>
      <c r="D34" s="869" t="s">
        <v>13</v>
      </c>
      <c r="E34" s="870" t="s">
        <v>63</v>
      </c>
      <c r="F34" s="884" t="s">
        <v>21</v>
      </c>
      <c r="G34" s="885" t="s">
        <v>63</v>
      </c>
    </row>
    <row r="35" spans="1:7" ht="20.25" customHeight="1">
      <c r="A35" s="824">
        <v>45043</v>
      </c>
      <c r="B35" s="884" t="s">
        <v>62</v>
      </c>
      <c r="C35" s="869" t="s">
        <v>12</v>
      </c>
      <c r="D35" s="869" t="s">
        <v>13</v>
      </c>
      <c r="E35" s="870" t="s">
        <v>63</v>
      </c>
      <c r="F35" s="884" t="s">
        <v>17</v>
      </c>
      <c r="G35" s="885" t="s">
        <v>21</v>
      </c>
    </row>
    <row r="36" spans="1:7" ht="20.25" customHeight="1">
      <c r="A36" s="824">
        <v>45044</v>
      </c>
      <c r="B36" s="872" t="s">
        <v>17</v>
      </c>
      <c r="C36" s="874"/>
      <c r="D36" s="874" t="s">
        <v>21</v>
      </c>
      <c r="E36" s="887"/>
      <c r="F36" s="872" t="s">
        <v>17</v>
      </c>
      <c r="G36" s="888" t="s">
        <v>21</v>
      </c>
    </row>
    <row r="37" spans="1:7" ht="20.25" customHeight="1">
      <c r="A37" s="824">
        <v>45045</v>
      </c>
      <c r="B37" s="825" t="s">
        <v>53</v>
      </c>
      <c r="C37" s="869" t="s">
        <v>12</v>
      </c>
      <c r="D37" s="869" t="s">
        <v>13</v>
      </c>
      <c r="E37" s="870" t="s">
        <v>63</v>
      </c>
      <c r="F37" s="825" t="s">
        <v>21</v>
      </c>
      <c r="G37" s="885" t="s">
        <v>93</v>
      </c>
    </row>
    <row r="38" spans="1:7" ht="20.25" customHeight="1">
      <c r="A38" s="824">
        <v>45046</v>
      </c>
      <c r="B38" s="825" t="s">
        <v>53</v>
      </c>
      <c r="C38" s="869" t="s">
        <v>12</v>
      </c>
      <c r="D38" s="869" t="s">
        <v>13</v>
      </c>
      <c r="E38" s="870" t="s">
        <v>63</v>
      </c>
      <c r="F38" s="825" t="s">
        <v>21</v>
      </c>
      <c r="G38" s="885" t="s">
        <v>63</v>
      </c>
    </row>
    <row r="39" spans="1:7" ht="20.25" customHeight="1">
      <c r="A39" s="824"/>
      <c r="B39" s="889"/>
      <c r="C39" s="1131"/>
      <c r="D39" s="1132"/>
      <c r="E39" s="1133"/>
      <c r="F39" s="889"/>
      <c r="G39" s="890"/>
    </row>
  </sheetData>
  <mergeCells count="11">
    <mergeCell ref="C39:E39"/>
    <mergeCell ref="A1:A4"/>
    <mergeCell ref="A6:A8"/>
    <mergeCell ref="F7:F8"/>
    <mergeCell ref="G7:G8"/>
    <mergeCell ref="B1:E4"/>
    <mergeCell ref="F1:G5"/>
    <mergeCell ref="C5:D5"/>
    <mergeCell ref="B6:E6"/>
    <mergeCell ref="F6:G6"/>
    <mergeCell ref="C7:E7"/>
  </mergeCells>
  <pageMargins left="0.25" right="0.25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"/>
  <sheetViews>
    <sheetView workbookViewId="0">
      <selection activeCell="K6" sqref="K6"/>
    </sheetView>
  </sheetViews>
  <sheetFormatPr baseColWidth="10" defaultColWidth="11" defaultRowHeight="15"/>
  <cols>
    <col min="1" max="1" width="26.85546875" customWidth="1"/>
    <col min="4" max="4" width="10" customWidth="1"/>
    <col min="5" max="5" width="12.7109375" customWidth="1"/>
    <col min="7" max="7" width="12.42578125" customWidth="1"/>
  </cols>
  <sheetData>
    <row r="1" spans="1:7">
      <c r="A1" s="1083"/>
      <c r="B1" s="1094" t="s">
        <v>96</v>
      </c>
      <c r="C1" s="1094"/>
      <c r="D1" s="1094"/>
      <c r="E1" s="1094"/>
      <c r="F1" s="1089"/>
      <c r="G1" s="1089"/>
    </row>
    <row r="2" spans="1:7">
      <c r="A2" s="1083"/>
      <c r="B2" s="1094"/>
      <c r="C2" s="1094"/>
      <c r="D2" s="1094"/>
      <c r="E2" s="1094"/>
      <c r="F2" s="1089"/>
      <c r="G2" s="1089"/>
    </row>
    <row r="3" spans="1:7">
      <c r="A3" s="1083"/>
      <c r="B3" s="1094"/>
      <c r="C3" s="1094"/>
      <c r="D3" s="1094"/>
      <c r="E3" s="1094"/>
      <c r="F3" s="1089"/>
      <c r="G3" s="1089"/>
    </row>
    <row r="4" spans="1:7">
      <c r="A4" s="1083"/>
      <c r="B4" s="1094"/>
      <c r="C4" s="1094"/>
      <c r="D4" s="1094"/>
      <c r="E4" s="1094"/>
      <c r="F4" s="1089"/>
      <c r="G4" s="1089"/>
    </row>
    <row r="5" spans="1:7" ht="15.75">
      <c r="A5" s="431"/>
      <c r="B5" s="431"/>
      <c r="C5" s="1126">
        <v>2023</v>
      </c>
      <c r="D5" s="1126"/>
      <c r="E5" s="432"/>
      <c r="F5" s="1137"/>
      <c r="G5" s="1137"/>
    </row>
    <row r="6" spans="1:7" ht="15.75">
      <c r="A6" s="1134" t="s">
        <v>2</v>
      </c>
      <c r="B6" s="1138" t="s">
        <v>40</v>
      </c>
      <c r="C6" s="1139"/>
      <c r="D6" s="1139"/>
      <c r="E6" s="1140"/>
      <c r="F6" s="1138" t="s">
        <v>4</v>
      </c>
      <c r="G6" s="1141"/>
    </row>
    <row r="7" spans="1:7" ht="15.75">
      <c r="A7" s="1135"/>
      <c r="B7" s="864" t="s">
        <v>5</v>
      </c>
      <c r="C7" s="1142" t="s">
        <v>6</v>
      </c>
      <c r="D7" s="1143"/>
      <c r="E7" s="1144"/>
      <c r="F7" s="1127" t="s">
        <v>5</v>
      </c>
      <c r="G7" s="1129" t="s">
        <v>6</v>
      </c>
    </row>
    <row r="8" spans="1:7" ht="15.75">
      <c r="A8" s="1136"/>
      <c r="B8" s="865"/>
      <c r="C8" s="866" t="s">
        <v>8</v>
      </c>
      <c r="D8" s="866" t="s">
        <v>9</v>
      </c>
      <c r="E8" s="866" t="s">
        <v>97</v>
      </c>
      <c r="F8" s="1128"/>
      <c r="G8" s="1130"/>
    </row>
    <row r="9" spans="1:7" ht="15.75">
      <c r="A9" s="867">
        <v>45047</v>
      </c>
      <c r="B9" s="868" t="s">
        <v>98</v>
      </c>
      <c r="C9" s="869" t="s">
        <v>12</v>
      </c>
      <c r="D9" s="869" t="s">
        <v>13</v>
      </c>
      <c r="E9" s="870" t="s">
        <v>99</v>
      </c>
      <c r="F9" s="868" t="s">
        <v>80</v>
      </c>
      <c r="G9" s="869" t="s">
        <v>21</v>
      </c>
    </row>
    <row r="10" spans="1:7" ht="15.75">
      <c r="A10" s="867">
        <v>45048</v>
      </c>
      <c r="B10" s="868" t="s">
        <v>98</v>
      </c>
      <c r="C10" s="869" t="s">
        <v>12</v>
      </c>
      <c r="D10" s="869" t="s">
        <v>13</v>
      </c>
      <c r="E10" s="870" t="s">
        <v>99</v>
      </c>
      <c r="F10" s="868" t="s">
        <v>17</v>
      </c>
      <c r="G10" s="869" t="s">
        <v>29</v>
      </c>
    </row>
    <row r="11" spans="1:7" ht="15.75">
      <c r="A11" s="867">
        <v>45049</v>
      </c>
      <c r="B11" s="868" t="s">
        <v>100</v>
      </c>
      <c r="C11" s="869" t="s">
        <v>12</v>
      </c>
      <c r="D11" s="869" t="s">
        <v>13</v>
      </c>
      <c r="E11" s="870" t="s">
        <v>99</v>
      </c>
      <c r="F11" s="868" t="s">
        <v>21</v>
      </c>
      <c r="G11" s="869" t="s">
        <v>101</v>
      </c>
    </row>
    <row r="12" spans="1:7" ht="15.75">
      <c r="A12" s="867">
        <v>45050</v>
      </c>
      <c r="B12" s="868" t="s">
        <v>100</v>
      </c>
      <c r="C12" s="869" t="s">
        <v>12</v>
      </c>
      <c r="D12" s="869" t="s">
        <v>13</v>
      </c>
      <c r="E12" s="870" t="s">
        <v>102</v>
      </c>
      <c r="F12" s="868" t="s">
        <v>21</v>
      </c>
      <c r="G12" s="869" t="s">
        <v>17</v>
      </c>
    </row>
    <row r="13" spans="1:7" ht="15.75">
      <c r="A13" s="871" t="s">
        <v>103</v>
      </c>
      <c r="B13" s="872" t="s">
        <v>17</v>
      </c>
      <c r="C13" s="1122" t="s">
        <v>21</v>
      </c>
      <c r="D13" s="1123"/>
      <c r="E13" s="1124"/>
      <c r="F13" s="873" t="s">
        <v>17</v>
      </c>
      <c r="G13" s="874" t="s">
        <v>21</v>
      </c>
    </row>
    <row r="14" spans="1:7" ht="15.75">
      <c r="A14" s="867">
        <v>45052</v>
      </c>
      <c r="B14" s="868" t="s">
        <v>98</v>
      </c>
      <c r="C14" s="869" t="s">
        <v>12</v>
      </c>
      <c r="D14" s="869" t="s">
        <v>13</v>
      </c>
      <c r="E14" s="870" t="s">
        <v>99</v>
      </c>
      <c r="F14" s="868" t="s">
        <v>17</v>
      </c>
      <c r="G14" s="869" t="s">
        <v>14</v>
      </c>
    </row>
    <row r="15" spans="1:7" ht="15.75">
      <c r="A15" s="867">
        <v>45053</v>
      </c>
      <c r="B15" s="868" t="s">
        <v>100</v>
      </c>
      <c r="C15" s="869" t="s">
        <v>12</v>
      </c>
      <c r="D15" s="869" t="s">
        <v>13</v>
      </c>
      <c r="E15" s="870" t="s">
        <v>99</v>
      </c>
      <c r="F15" s="868" t="s">
        <v>21</v>
      </c>
      <c r="G15" s="869" t="s">
        <v>101</v>
      </c>
    </row>
    <row r="16" spans="1:7" ht="15.75">
      <c r="A16" s="867">
        <v>45054</v>
      </c>
      <c r="B16" s="868" t="s">
        <v>100</v>
      </c>
      <c r="C16" s="869" t="s">
        <v>12</v>
      </c>
      <c r="D16" s="869" t="s">
        <v>13</v>
      </c>
      <c r="E16" s="870" t="s">
        <v>102</v>
      </c>
      <c r="F16" s="868" t="s">
        <v>21</v>
      </c>
      <c r="G16" s="869" t="s">
        <v>17</v>
      </c>
    </row>
    <row r="17" spans="1:7" ht="15.75">
      <c r="A17" s="867">
        <v>45055</v>
      </c>
      <c r="B17" s="868" t="s">
        <v>98</v>
      </c>
      <c r="C17" s="869" t="s">
        <v>12</v>
      </c>
      <c r="D17" s="869" t="s">
        <v>13</v>
      </c>
      <c r="E17" s="870" t="s">
        <v>99</v>
      </c>
      <c r="F17" s="868" t="s">
        <v>17</v>
      </c>
      <c r="G17" s="869" t="s">
        <v>29</v>
      </c>
    </row>
    <row r="18" spans="1:7" ht="15.75">
      <c r="A18" s="867">
        <v>45056</v>
      </c>
      <c r="B18" s="868" t="s">
        <v>98</v>
      </c>
      <c r="C18" s="869" t="s">
        <v>12</v>
      </c>
      <c r="D18" s="869" t="s">
        <v>13</v>
      </c>
      <c r="E18" s="870" t="s">
        <v>99</v>
      </c>
      <c r="F18" s="868" t="s">
        <v>17</v>
      </c>
      <c r="G18" s="869" t="s">
        <v>21</v>
      </c>
    </row>
    <row r="19" spans="1:7" ht="15.75">
      <c r="A19" s="867">
        <v>45057</v>
      </c>
      <c r="B19" s="868" t="s">
        <v>100</v>
      </c>
      <c r="C19" s="869" t="s">
        <v>12</v>
      </c>
      <c r="D19" s="869" t="s">
        <v>13</v>
      </c>
      <c r="E19" s="870" t="s">
        <v>99</v>
      </c>
      <c r="F19" s="868" t="s">
        <v>21</v>
      </c>
      <c r="G19" s="869" t="s">
        <v>101</v>
      </c>
    </row>
    <row r="20" spans="1:7" ht="15.75">
      <c r="A20" s="875" t="s">
        <v>104</v>
      </c>
      <c r="B20" s="872" t="s">
        <v>21</v>
      </c>
      <c r="C20" s="1122" t="s">
        <v>17</v>
      </c>
      <c r="D20" s="1123"/>
      <c r="E20" s="1124"/>
      <c r="F20" s="872" t="s">
        <v>21</v>
      </c>
      <c r="G20" s="874" t="s">
        <v>17</v>
      </c>
    </row>
    <row r="21" spans="1:7" ht="15.75">
      <c r="A21" s="867">
        <v>45059</v>
      </c>
      <c r="B21" s="868" t="s">
        <v>98</v>
      </c>
      <c r="C21" s="869" t="s">
        <v>12</v>
      </c>
      <c r="D21" s="869" t="s">
        <v>13</v>
      </c>
      <c r="E21" s="870" t="s">
        <v>102</v>
      </c>
      <c r="F21" s="868" t="s">
        <v>17</v>
      </c>
      <c r="G21" s="869" t="s">
        <v>105</v>
      </c>
    </row>
    <row r="22" spans="1:7" ht="15.75">
      <c r="A22" s="867">
        <v>45060</v>
      </c>
      <c r="B22" s="868" t="s">
        <v>98</v>
      </c>
      <c r="C22" s="869" t="s">
        <v>106</v>
      </c>
      <c r="D22" s="869" t="s">
        <v>13</v>
      </c>
      <c r="E22" s="870" t="s">
        <v>99</v>
      </c>
      <c r="F22" s="868" t="s">
        <v>17</v>
      </c>
      <c r="G22" s="869" t="s">
        <v>14</v>
      </c>
    </row>
    <row r="23" spans="1:7" ht="15.75">
      <c r="A23" s="867">
        <v>45061</v>
      </c>
      <c r="B23" s="868" t="s">
        <v>100</v>
      </c>
      <c r="C23" s="869" t="s">
        <v>12</v>
      </c>
      <c r="D23" s="869" t="s">
        <v>13</v>
      </c>
      <c r="E23" s="870" t="s">
        <v>99</v>
      </c>
      <c r="F23" s="868" t="s">
        <v>21</v>
      </c>
      <c r="G23" s="869" t="s">
        <v>101</v>
      </c>
    </row>
    <row r="24" spans="1:7" ht="15.75">
      <c r="A24" s="867">
        <v>45062</v>
      </c>
      <c r="B24" s="868" t="s">
        <v>100</v>
      </c>
      <c r="C24" s="869" t="s">
        <v>12</v>
      </c>
      <c r="D24" s="869" t="s">
        <v>13</v>
      </c>
      <c r="E24" s="870" t="s">
        <v>99</v>
      </c>
      <c r="F24" s="868" t="s">
        <v>21</v>
      </c>
      <c r="G24" s="869" t="s">
        <v>29</v>
      </c>
    </row>
    <row r="25" spans="1:7" ht="15.75">
      <c r="A25" s="867">
        <v>45063</v>
      </c>
      <c r="B25" s="868" t="s">
        <v>98</v>
      </c>
      <c r="C25" s="869" t="s">
        <v>12</v>
      </c>
      <c r="D25" s="869" t="s">
        <v>13</v>
      </c>
      <c r="E25" s="870" t="s">
        <v>99</v>
      </c>
      <c r="F25" s="868" t="s">
        <v>17</v>
      </c>
      <c r="G25" s="869" t="s">
        <v>14</v>
      </c>
    </row>
    <row r="26" spans="1:7" ht="15.75">
      <c r="A26" s="867">
        <v>45064</v>
      </c>
      <c r="B26" s="868" t="s">
        <v>98</v>
      </c>
      <c r="C26" s="869" t="s">
        <v>12</v>
      </c>
      <c r="D26" s="869" t="s">
        <v>13</v>
      </c>
      <c r="E26" s="870" t="s">
        <v>99</v>
      </c>
      <c r="F26" s="868" t="s">
        <v>17</v>
      </c>
      <c r="G26" s="869" t="s">
        <v>21</v>
      </c>
    </row>
    <row r="27" spans="1:7" ht="15.75">
      <c r="A27" s="871" t="s">
        <v>107</v>
      </c>
      <c r="B27" s="872" t="s">
        <v>17</v>
      </c>
      <c r="C27" s="1122" t="s">
        <v>108</v>
      </c>
      <c r="D27" s="1123"/>
      <c r="E27" s="1124"/>
      <c r="F27" s="876" t="s">
        <v>17</v>
      </c>
      <c r="G27" s="877" t="s">
        <v>109</v>
      </c>
    </row>
    <row r="28" spans="1:7" ht="15.75">
      <c r="A28" s="867">
        <v>45066</v>
      </c>
      <c r="B28" s="868" t="s">
        <v>100</v>
      </c>
      <c r="C28" s="869" t="s">
        <v>12</v>
      </c>
      <c r="D28" s="869" t="s">
        <v>13</v>
      </c>
      <c r="E28" s="870" t="s">
        <v>99</v>
      </c>
      <c r="F28" s="868" t="s">
        <v>21</v>
      </c>
      <c r="G28" s="869" t="s">
        <v>14</v>
      </c>
    </row>
    <row r="29" spans="1:7" ht="15.75">
      <c r="A29" s="867">
        <v>45067</v>
      </c>
      <c r="B29" s="868" t="s">
        <v>98</v>
      </c>
      <c r="C29" s="869" t="s">
        <v>106</v>
      </c>
      <c r="D29" s="869" t="s">
        <v>13</v>
      </c>
      <c r="E29" s="870" t="s">
        <v>99</v>
      </c>
      <c r="F29" s="868" t="s">
        <v>17</v>
      </c>
      <c r="G29" s="869" t="s">
        <v>109</v>
      </c>
    </row>
    <row r="30" spans="1:7" ht="15.75">
      <c r="A30" s="867">
        <v>45068</v>
      </c>
      <c r="B30" s="868" t="s">
        <v>98</v>
      </c>
      <c r="C30" s="869" t="s">
        <v>12</v>
      </c>
      <c r="D30" s="869" t="s">
        <v>13</v>
      </c>
      <c r="E30" s="870" t="s">
        <v>99</v>
      </c>
      <c r="F30" s="868" t="s">
        <v>17</v>
      </c>
      <c r="G30" s="869" t="s">
        <v>14</v>
      </c>
    </row>
    <row r="31" spans="1:7" ht="15.75">
      <c r="A31" s="867">
        <v>45069</v>
      </c>
      <c r="B31" s="868" t="s">
        <v>100</v>
      </c>
      <c r="C31" s="869" t="s">
        <v>12</v>
      </c>
      <c r="D31" s="869" t="s">
        <v>13</v>
      </c>
      <c r="E31" s="870" t="s">
        <v>99</v>
      </c>
      <c r="F31" s="868" t="s">
        <v>21</v>
      </c>
      <c r="G31" s="869" t="s">
        <v>29</v>
      </c>
    </row>
    <row r="32" spans="1:7" ht="15.75">
      <c r="A32" s="867">
        <v>45070</v>
      </c>
      <c r="B32" s="868" t="s">
        <v>100</v>
      </c>
      <c r="C32" s="869" t="s">
        <v>12</v>
      </c>
      <c r="D32" s="869" t="s">
        <v>13</v>
      </c>
      <c r="E32" s="870" t="s">
        <v>99</v>
      </c>
      <c r="F32" s="868" t="s">
        <v>21</v>
      </c>
      <c r="G32" s="869" t="s">
        <v>17</v>
      </c>
    </row>
    <row r="33" spans="1:7" ht="15.75">
      <c r="A33" s="867">
        <v>45071</v>
      </c>
      <c r="B33" s="868" t="s">
        <v>98</v>
      </c>
      <c r="C33" s="869" t="s">
        <v>12</v>
      </c>
      <c r="D33" s="869" t="s">
        <v>13</v>
      </c>
      <c r="E33" s="870" t="s">
        <v>102</v>
      </c>
      <c r="F33" s="868" t="s">
        <v>17</v>
      </c>
      <c r="G33" s="869" t="s">
        <v>110</v>
      </c>
    </row>
    <row r="34" spans="1:7" ht="15.75">
      <c r="A34" s="871">
        <v>45072</v>
      </c>
      <c r="B34" s="872" t="s">
        <v>17</v>
      </c>
      <c r="C34" s="1122" t="s">
        <v>111</v>
      </c>
      <c r="D34" s="1123"/>
      <c r="E34" s="1124"/>
      <c r="F34" s="876" t="s">
        <v>17</v>
      </c>
      <c r="G34" s="877" t="s">
        <v>109</v>
      </c>
    </row>
    <row r="35" spans="1:7" ht="15.75">
      <c r="A35" s="867">
        <v>45073</v>
      </c>
      <c r="B35" s="868" t="s">
        <v>100</v>
      </c>
      <c r="C35" s="869" t="s">
        <v>12</v>
      </c>
      <c r="D35" s="869" t="s">
        <v>13</v>
      </c>
      <c r="E35" s="870" t="s">
        <v>99</v>
      </c>
      <c r="F35" s="868" t="s">
        <v>21</v>
      </c>
      <c r="G35" s="869" t="s">
        <v>112</v>
      </c>
    </row>
    <row r="36" spans="1:7" ht="15.75">
      <c r="A36" s="867">
        <v>45074</v>
      </c>
      <c r="B36" s="868" t="s">
        <v>100</v>
      </c>
      <c r="C36" s="869" t="s">
        <v>12</v>
      </c>
      <c r="D36" s="869" t="s">
        <v>13</v>
      </c>
      <c r="E36" s="870" t="s">
        <v>99</v>
      </c>
      <c r="F36" s="868" t="s">
        <v>21</v>
      </c>
      <c r="G36" s="869" t="s">
        <v>110</v>
      </c>
    </row>
    <row r="37" spans="1:7" ht="15.75">
      <c r="A37" s="867">
        <v>45075</v>
      </c>
      <c r="B37" s="868" t="s">
        <v>98</v>
      </c>
      <c r="C37" s="869" t="s">
        <v>12</v>
      </c>
      <c r="D37" s="869" t="s">
        <v>13</v>
      </c>
      <c r="E37" s="870" t="s">
        <v>99</v>
      </c>
      <c r="F37" s="868" t="s">
        <v>17</v>
      </c>
      <c r="G37" s="869" t="s">
        <v>21</v>
      </c>
    </row>
    <row r="38" spans="1:7" ht="15.75">
      <c r="A38" s="867">
        <v>45076</v>
      </c>
      <c r="B38" s="868" t="s">
        <v>98</v>
      </c>
      <c r="C38" s="869" t="s">
        <v>12</v>
      </c>
      <c r="D38" s="869" t="s">
        <v>13</v>
      </c>
      <c r="E38" s="870" t="s">
        <v>99</v>
      </c>
      <c r="F38" s="868" t="s">
        <v>17</v>
      </c>
      <c r="G38" s="869" t="s">
        <v>110</v>
      </c>
    </row>
    <row r="39" spans="1:7" ht="15.75">
      <c r="A39" s="867">
        <v>45077</v>
      </c>
      <c r="B39" s="868" t="s">
        <v>100</v>
      </c>
      <c r="C39" s="869" t="s">
        <v>12</v>
      </c>
      <c r="D39" s="869" t="s">
        <v>13</v>
      </c>
      <c r="E39" s="870" t="s">
        <v>99</v>
      </c>
      <c r="F39" s="868" t="s">
        <v>21</v>
      </c>
      <c r="G39" s="869" t="s">
        <v>17</v>
      </c>
    </row>
    <row r="40" spans="1:7" ht="15.75">
      <c r="A40" s="878"/>
      <c r="B40" s="825"/>
      <c r="C40" s="826"/>
      <c r="D40" s="879"/>
      <c r="E40" s="880"/>
      <c r="F40" s="825"/>
      <c r="G40" s="826"/>
    </row>
    <row r="41" spans="1:7" ht="14.25" customHeight="1">
      <c r="A41" s="881"/>
      <c r="B41" s="882" t="s">
        <v>113</v>
      </c>
      <c r="C41" s="883" t="s">
        <v>114</v>
      </c>
      <c r="D41" s="1148"/>
      <c r="E41" s="1149"/>
      <c r="F41" s="881" t="s">
        <v>115</v>
      </c>
      <c r="G41" s="881" t="s">
        <v>114</v>
      </c>
    </row>
    <row r="42" spans="1:7" ht="14.25" customHeight="1">
      <c r="A42" s="317" t="s">
        <v>116</v>
      </c>
      <c r="B42" s="317">
        <v>28</v>
      </c>
      <c r="C42" s="317">
        <v>3</v>
      </c>
      <c r="D42" s="1145" t="s">
        <v>117</v>
      </c>
      <c r="E42" s="1145"/>
      <c r="F42" s="317">
        <v>1</v>
      </c>
      <c r="G42" s="317">
        <v>5</v>
      </c>
    </row>
    <row r="43" spans="1:7" ht="14.25" customHeight="1">
      <c r="A43" s="317" t="s">
        <v>118</v>
      </c>
      <c r="B43" s="317">
        <v>18</v>
      </c>
      <c r="C43" s="317">
        <v>22</v>
      </c>
      <c r="D43" s="1145" t="s">
        <v>119</v>
      </c>
      <c r="E43" s="1145"/>
      <c r="F43" s="317">
        <v>2</v>
      </c>
      <c r="G43" s="317">
        <v>3</v>
      </c>
    </row>
    <row r="44" spans="1:7" ht="14.25" customHeight="1">
      <c r="A44" s="317" t="s">
        <v>120</v>
      </c>
      <c r="B44" s="317">
        <v>15</v>
      </c>
      <c r="C44" s="317">
        <v>19</v>
      </c>
    </row>
    <row r="45" spans="1:7" ht="14.25" customHeight="1">
      <c r="A45" s="317" t="s">
        <v>121</v>
      </c>
      <c r="B45" s="317">
        <v>27</v>
      </c>
      <c r="C45" s="317">
        <v>0</v>
      </c>
    </row>
    <row r="46" spans="1:7" ht="14.25" customHeight="1">
      <c r="A46" s="317" t="s">
        <v>122</v>
      </c>
      <c r="B46" s="317">
        <v>28</v>
      </c>
      <c r="C46" s="317">
        <v>6</v>
      </c>
      <c r="E46" s="1146" t="s">
        <v>123</v>
      </c>
      <c r="F46" s="1147"/>
      <c r="G46" s="1147"/>
    </row>
    <row r="47" spans="1:7" ht="14.25" customHeight="1">
      <c r="A47" s="317" t="s">
        <v>124</v>
      </c>
      <c r="B47" s="317">
        <v>27</v>
      </c>
      <c r="C47" s="317">
        <v>0</v>
      </c>
    </row>
    <row r="48" spans="1:7" ht="14.25" customHeight="1">
      <c r="A48" s="317" t="s">
        <v>125</v>
      </c>
      <c r="B48" s="317">
        <v>27</v>
      </c>
      <c r="C48" s="317">
        <v>4</v>
      </c>
    </row>
    <row r="49" spans="1:3" ht="14.25" customHeight="1">
      <c r="A49" s="317" t="s">
        <v>126</v>
      </c>
      <c r="B49" s="317">
        <v>0</v>
      </c>
      <c r="C49" s="317">
        <v>1</v>
      </c>
    </row>
    <row r="50" spans="1:3" ht="14.25" customHeight="1"/>
  </sheetData>
  <mergeCells count="18">
    <mergeCell ref="C13:E13"/>
    <mergeCell ref="D43:E43"/>
    <mergeCell ref="E46:G46"/>
    <mergeCell ref="C20:E20"/>
    <mergeCell ref="C27:E27"/>
    <mergeCell ref="C34:E34"/>
    <mergeCell ref="D41:E41"/>
    <mergeCell ref="D42:E42"/>
    <mergeCell ref="A1:A4"/>
    <mergeCell ref="A6:A8"/>
    <mergeCell ref="F7:F8"/>
    <mergeCell ref="G7:G8"/>
    <mergeCell ref="B1:E4"/>
    <mergeCell ref="F1:G5"/>
    <mergeCell ref="C5:D5"/>
    <mergeCell ref="B6:E6"/>
    <mergeCell ref="F6:G6"/>
    <mergeCell ref="C7:E7"/>
  </mergeCells>
  <pageMargins left="0.25" right="0.25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2"/>
  <sheetViews>
    <sheetView workbookViewId="0">
      <selection activeCell="A50" sqref="A50:I50"/>
    </sheetView>
  </sheetViews>
  <sheetFormatPr baseColWidth="10" defaultColWidth="11" defaultRowHeight="15"/>
  <cols>
    <col min="1" max="1" width="21.85546875" customWidth="1"/>
    <col min="2" max="2" width="13.140625" customWidth="1"/>
    <col min="3" max="3" width="10.7109375" customWidth="1"/>
    <col min="4" max="4" width="8.28515625" customWidth="1"/>
    <col min="5" max="5" width="9.7109375" customWidth="1"/>
    <col min="6" max="6" width="6.5703125" customWidth="1"/>
    <col min="7" max="7" width="10.140625" customWidth="1"/>
    <col min="9" max="9" width="6.85546875" customWidth="1"/>
  </cols>
  <sheetData>
    <row r="1" spans="1:9">
      <c r="A1" s="1083"/>
      <c r="B1" s="1094" t="s">
        <v>127</v>
      </c>
      <c r="C1" s="1094"/>
      <c r="D1" s="1094"/>
      <c r="E1" s="1094"/>
      <c r="F1" s="1094"/>
      <c r="G1" s="1089"/>
      <c r="H1" s="1089"/>
      <c r="I1" s="1089"/>
    </row>
    <row r="2" spans="1:9">
      <c r="A2" s="1083"/>
      <c r="B2" s="1094"/>
      <c r="C2" s="1094"/>
      <c r="D2" s="1094"/>
      <c r="E2" s="1094"/>
      <c r="F2" s="1094"/>
      <c r="G2" s="1089"/>
      <c r="H2" s="1089"/>
      <c r="I2" s="1089"/>
    </row>
    <row r="3" spans="1:9">
      <c r="A3" s="1083"/>
      <c r="B3" s="1094"/>
      <c r="C3" s="1094"/>
      <c r="D3" s="1094"/>
      <c r="E3" s="1094"/>
      <c r="F3" s="1094"/>
      <c r="G3" s="1089"/>
      <c r="H3" s="1089"/>
      <c r="I3" s="1089"/>
    </row>
    <row r="4" spans="1:9">
      <c r="A4" s="1083"/>
      <c r="B4" s="1094"/>
      <c r="C4" s="1094"/>
      <c r="D4" s="1094"/>
      <c r="E4" s="1094"/>
      <c r="F4" s="1094"/>
      <c r="G4" s="1089"/>
      <c r="H4" s="1089"/>
      <c r="I4" s="1089"/>
    </row>
    <row r="5" spans="1:9" ht="15.75">
      <c r="A5" s="431"/>
      <c r="B5" s="431"/>
      <c r="C5" s="1126">
        <v>2024</v>
      </c>
      <c r="D5" s="1126"/>
      <c r="E5" s="2"/>
      <c r="F5" s="432"/>
      <c r="G5" s="1137"/>
      <c r="H5" s="1137"/>
      <c r="I5" s="1137"/>
    </row>
    <row r="6" spans="1:9" ht="15.75">
      <c r="A6" s="1134" t="s">
        <v>2</v>
      </c>
      <c r="B6" s="1138" t="s">
        <v>40</v>
      </c>
      <c r="C6" s="1139"/>
      <c r="D6" s="1139"/>
      <c r="E6" s="1139"/>
      <c r="F6" s="1140"/>
      <c r="G6" s="1138" t="s">
        <v>4</v>
      </c>
      <c r="H6" s="1139"/>
      <c r="I6" s="1141"/>
    </row>
    <row r="7" spans="1:9" ht="15.75">
      <c r="A7" s="1135"/>
      <c r="B7" s="737" t="s">
        <v>5</v>
      </c>
      <c r="C7" s="1142" t="s">
        <v>6</v>
      </c>
      <c r="D7" s="1143"/>
      <c r="E7" s="1143"/>
      <c r="F7" s="1144"/>
      <c r="G7" s="1127" t="s">
        <v>5</v>
      </c>
      <c r="H7" s="1127" t="s">
        <v>6</v>
      </c>
      <c r="I7" s="1129" t="s">
        <v>128</v>
      </c>
    </row>
    <row r="8" spans="1:9" ht="15.75">
      <c r="A8" s="1157"/>
      <c r="B8" s="764"/>
      <c r="C8" s="765" t="s">
        <v>8</v>
      </c>
      <c r="D8" s="765" t="s">
        <v>9</v>
      </c>
      <c r="E8" s="765" t="s">
        <v>10</v>
      </c>
      <c r="F8" s="765" t="s">
        <v>7</v>
      </c>
      <c r="G8" s="1158"/>
      <c r="H8" s="1158"/>
      <c r="I8" s="1178"/>
    </row>
    <row r="9" spans="1:9" ht="15.75">
      <c r="A9" s="795">
        <v>45444</v>
      </c>
      <c r="B9" s="820" t="s">
        <v>21</v>
      </c>
      <c r="C9" s="821" t="s">
        <v>17</v>
      </c>
      <c r="D9" s="821" t="s">
        <v>129</v>
      </c>
      <c r="E9" s="821" t="s">
        <v>109</v>
      </c>
      <c r="F9" s="822" t="s">
        <v>23</v>
      </c>
      <c r="G9" s="820" t="s">
        <v>21</v>
      </c>
      <c r="H9" s="820" t="s">
        <v>109</v>
      </c>
      <c r="I9" s="823" t="s">
        <v>23</v>
      </c>
    </row>
    <row r="10" spans="1:9" ht="15.75">
      <c r="A10" s="824">
        <v>45445</v>
      </c>
      <c r="B10" s="825" t="s">
        <v>130</v>
      </c>
      <c r="C10" s="826" t="s">
        <v>21</v>
      </c>
      <c r="D10" s="826" t="s">
        <v>129</v>
      </c>
      <c r="E10" s="826" t="s">
        <v>14</v>
      </c>
      <c r="F10" s="827" t="s">
        <v>23</v>
      </c>
      <c r="G10" s="825" t="s">
        <v>130</v>
      </c>
      <c r="H10" s="825" t="s">
        <v>63</v>
      </c>
      <c r="I10" s="828" t="s">
        <v>131</v>
      </c>
    </row>
    <row r="11" spans="1:9" ht="15.75">
      <c r="A11" s="824">
        <v>45446</v>
      </c>
      <c r="B11" s="825" t="s">
        <v>17</v>
      </c>
      <c r="C11" s="826" t="s">
        <v>12</v>
      </c>
      <c r="D11" s="826" t="s">
        <v>129</v>
      </c>
      <c r="E11" s="826" t="s">
        <v>14</v>
      </c>
      <c r="F11" s="827" t="s">
        <v>23</v>
      </c>
      <c r="G11" s="825" t="s">
        <v>17</v>
      </c>
      <c r="H11" s="825" t="s">
        <v>109</v>
      </c>
      <c r="I11" s="828" t="s">
        <v>132</v>
      </c>
    </row>
    <row r="12" spans="1:9" ht="15.75">
      <c r="A12" s="824">
        <v>45447</v>
      </c>
      <c r="B12" s="825" t="s">
        <v>21</v>
      </c>
      <c r="C12" s="826" t="s">
        <v>12</v>
      </c>
      <c r="D12" s="826" t="s">
        <v>129</v>
      </c>
      <c r="E12" s="826" t="s">
        <v>14</v>
      </c>
      <c r="F12" s="827" t="s">
        <v>23</v>
      </c>
      <c r="G12" s="820" t="s">
        <v>21</v>
      </c>
      <c r="H12" s="825" t="s">
        <v>23</v>
      </c>
      <c r="I12" s="828" t="s">
        <v>133</v>
      </c>
    </row>
    <row r="13" spans="1:9" ht="15.75">
      <c r="A13" s="824">
        <v>45448</v>
      </c>
      <c r="B13" s="825" t="s">
        <v>134</v>
      </c>
      <c r="C13" s="826" t="s">
        <v>12</v>
      </c>
      <c r="D13" s="826" t="s">
        <v>129</v>
      </c>
      <c r="E13" s="826" t="s">
        <v>14</v>
      </c>
      <c r="F13" s="827" t="s">
        <v>23</v>
      </c>
      <c r="G13" s="825" t="s">
        <v>130</v>
      </c>
      <c r="H13" s="829" t="s">
        <v>17</v>
      </c>
      <c r="I13" s="828" t="s">
        <v>23</v>
      </c>
    </row>
    <row r="14" spans="1:9" ht="15.75">
      <c r="A14" s="824">
        <v>45449</v>
      </c>
      <c r="B14" s="825" t="s">
        <v>135</v>
      </c>
      <c r="C14" s="826" t="s">
        <v>12</v>
      </c>
      <c r="D14" s="826" t="s">
        <v>129</v>
      </c>
      <c r="E14" s="826" t="s">
        <v>14</v>
      </c>
      <c r="F14" s="827" t="s">
        <v>23</v>
      </c>
      <c r="G14" s="825" t="s">
        <v>17</v>
      </c>
      <c r="H14" s="829" t="s">
        <v>110</v>
      </c>
      <c r="I14" s="828" t="s">
        <v>136</v>
      </c>
    </row>
    <row r="15" spans="1:9" ht="15.75">
      <c r="A15" s="824">
        <v>45450</v>
      </c>
      <c r="B15" s="830" t="s">
        <v>21</v>
      </c>
      <c r="C15" s="831" t="s">
        <v>137</v>
      </c>
      <c r="D15" s="831" t="s">
        <v>110</v>
      </c>
      <c r="E15" s="831" t="s">
        <v>17</v>
      </c>
      <c r="F15" s="832"/>
      <c r="G15" s="833" t="s">
        <v>21</v>
      </c>
      <c r="H15" s="834" t="s">
        <v>137</v>
      </c>
      <c r="I15" s="835" t="s">
        <v>131</v>
      </c>
    </row>
    <row r="16" spans="1:9" ht="15.75">
      <c r="A16" s="824">
        <v>45451</v>
      </c>
      <c r="B16" s="825" t="s">
        <v>138</v>
      </c>
      <c r="C16" s="826" t="s">
        <v>12</v>
      </c>
      <c r="D16" s="826" t="s">
        <v>129</v>
      </c>
      <c r="E16" s="826" t="s">
        <v>109</v>
      </c>
      <c r="F16" s="827" t="s">
        <v>23</v>
      </c>
      <c r="G16" s="825" t="s">
        <v>130</v>
      </c>
      <c r="H16" s="825" t="s">
        <v>109</v>
      </c>
      <c r="I16" s="828" t="s">
        <v>131</v>
      </c>
    </row>
    <row r="17" spans="1:9" ht="15.75">
      <c r="A17" s="824">
        <v>45452</v>
      </c>
      <c r="B17" s="825" t="s">
        <v>110</v>
      </c>
      <c r="C17" s="826" t="s">
        <v>12</v>
      </c>
      <c r="D17" s="826" t="s">
        <v>129</v>
      </c>
      <c r="E17" s="826" t="s">
        <v>14</v>
      </c>
      <c r="F17" s="827" t="s">
        <v>23</v>
      </c>
      <c r="G17" s="825" t="s">
        <v>110</v>
      </c>
      <c r="H17" s="825" t="s">
        <v>63</v>
      </c>
      <c r="I17" s="828" t="s">
        <v>139</v>
      </c>
    </row>
    <row r="18" spans="1:9" ht="15.75">
      <c r="A18" s="824">
        <v>45453</v>
      </c>
      <c r="B18" s="825" t="s">
        <v>21</v>
      </c>
      <c r="C18" s="826" t="s">
        <v>12</v>
      </c>
      <c r="D18" s="826" t="s">
        <v>129</v>
      </c>
      <c r="E18" s="826" t="s">
        <v>14</v>
      </c>
      <c r="F18" s="827" t="s">
        <v>23</v>
      </c>
      <c r="G18" s="820" t="s">
        <v>21</v>
      </c>
      <c r="H18" s="829" t="s">
        <v>140</v>
      </c>
      <c r="I18" s="828"/>
    </row>
    <row r="19" spans="1:9" ht="15.75">
      <c r="A19" s="824">
        <v>45454</v>
      </c>
      <c r="B19" s="825" t="s">
        <v>141</v>
      </c>
      <c r="C19" s="826" t="s">
        <v>12</v>
      </c>
      <c r="D19" s="826" t="s">
        <v>129</v>
      </c>
      <c r="E19" s="826" t="s">
        <v>14</v>
      </c>
      <c r="F19" s="827" t="s">
        <v>23</v>
      </c>
      <c r="G19" s="825" t="s">
        <v>130</v>
      </c>
      <c r="H19" s="829" t="s">
        <v>109</v>
      </c>
      <c r="I19" s="828" t="s">
        <v>142</v>
      </c>
    </row>
    <row r="20" spans="1:9" ht="15.75">
      <c r="A20" s="824">
        <v>45455</v>
      </c>
      <c r="B20" s="825" t="s">
        <v>21</v>
      </c>
      <c r="C20" s="826" t="s">
        <v>12</v>
      </c>
      <c r="D20" s="826" t="s">
        <v>129</v>
      </c>
      <c r="E20" s="826" t="s">
        <v>14</v>
      </c>
      <c r="F20" s="827" t="s">
        <v>23</v>
      </c>
      <c r="G20" s="825" t="s">
        <v>21</v>
      </c>
      <c r="H20" s="829" t="s">
        <v>110</v>
      </c>
      <c r="I20" s="828" t="s">
        <v>23</v>
      </c>
    </row>
    <row r="21" spans="1:9" ht="15.75">
      <c r="A21" s="824">
        <v>45456</v>
      </c>
      <c r="B21" s="825" t="s">
        <v>21</v>
      </c>
      <c r="C21" s="826" t="s">
        <v>12</v>
      </c>
      <c r="D21" s="826" t="s">
        <v>129</v>
      </c>
      <c r="E21" s="826" t="s">
        <v>14</v>
      </c>
      <c r="F21" s="827" t="s">
        <v>23</v>
      </c>
      <c r="G21" s="820" t="s">
        <v>21</v>
      </c>
      <c r="H21" s="829" t="s">
        <v>110</v>
      </c>
      <c r="I21" s="828" t="s">
        <v>143</v>
      </c>
    </row>
    <row r="22" spans="1:9" ht="15.75">
      <c r="A22" s="824">
        <v>45457</v>
      </c>
      <c r="B22" s="830" t="s">
        <v>130</v>
      </c>
      <c r="C22" s="831" t="s">
        <v>137</v>
      </c>
      <c r="D22" s="831" t="s">
        <v>110</v>
      </c>
      <c r="E22" s="831" t="s">
        <v>21</v>
      </c>
      <c r="F22" s="832" t="s">
        <v>133</v>
      </c>
      <c r="G22" s="830" t="s">
        <v>130</v>
      </c>
      <c r="H22" s="834" t="s">
        <v>137</v>
      </c>
      <c r="I22" s="835" t="s">
        <v>133</v>
      </c>
    </row>
    <row r="23" spans="1:9" ht="15.75">
      <c r="A23" s="824">
        <v>45458</v>
      </c>
      <c r="B23" s="825" t="s">
        <v>130</v>
      </c>
      <c r="C23" s="826" t="s">
        <v>12</v>
      </c>
      <c r="D23" s="826"/>
      <c r="E23" s="826" t="s">
        <v>109</v>
      </c>
      <c r="F23" s="827" t="s">
        <v>23</v>
      </c>
      <c r="G23" s="825" t="s">
        <v>110</v>
      </c>
      <c r="H23" s="825" t="s">
        <v>109</v>
      </c>
      <c r="I23" s="828"/>
    </row>
    <row r="24" spans="1:9" ht="15.75">
      <c r="A24" s="824">
        <v>45459</v>
      </c>
      <c r="B24" s="836" t="s">
        <v>110</v>
      </c>
      <c r="C24" s="1171" t="s">
        <v>23</v>
      </c>
      <c r="D24" s="1172"/>
      <c r="E24" s="1172"/>
      <c r="F24" s="1173"/>
      <c r="G24" s="837" t="s">
        <v>110</v>
      </c>
      <c r="H24" s="836" t="s">
        <v>23</v>
      </c>
      <c r="I24" s="838"/>
    </row>
    <row r="25" spans="1:9" ht="15.75">
      <c r="A25" s="824">
        <v>45460</v>
      </c>
      <c r="B25" s="836" t="s">
        <v>110</v>
      </c>
      <c r="C25" s="1171" t="s">
        <v>23</v>
      </c>
      <c r="D25" s="1172"/>
      <c r="E25" s="1172"/>
      <c r="F25" s="1173"/>
      <c r="G25" s="836" t="s">
        <v>130</v>
      </c>
      <c r="H25" s="839" t="s">
        <v>110</v>
      </c>
      <c r="I25" s="838"/>
    </row>
    <row r="26" spans="1:9" ht="15.75">
      <c r="A26" s="824">
        <v>45461</v>
      </c>
      <c r="B26" s="836" t="s">
        <v>130</v>
      </c>
      <c r="C26" s="1171" t="s">
        <v>137</v>
      </c>
      <c r="D26" s="1172"/>
      <c r="E26" s="1172"/>
      <c r="F26" s="1173"/>
      <c r="G26" s="836" t="s">
        <v>23</v>
      </c>
      <c r="H26" s="839" t="s">
        <v>137</v>
      </c>
      <c r="I26" s="838"/>
    </row>
    <row r="27" spans="1:9" ht="15.75">
      <c r="A27" s="824">
        <v>45462</v>
      </c>
      <c r="B27" s="825" t="s">
        <v>21</v>
      </c>
      <c r="C27" s="826" t="s">
        <v>12</v>
      </c>
      <c r="D27" s="826" t="s">
        <v>129</v>
      </c>
      <c r="E27" s="826" t="s">
        <v>14</v>
      </c>
      <c r="F27" s="827" t="s">
        <v>23</v>
      </c>
      <c r="G27" s="820" t="s">
        <v>21</v>
      </c>
      <c r="H27" s="829" t="s">
        <v>23</v>
      </c>
      <c r="I27" s="828"/>
    </row>
    <row r="28" spans="1:9" ht="15.75">
      <c r="A28" s="824">
        <v>45463</v>
      </c>
      <c r="B28" s="825" t="s">
        <v>130</v>
      </c>
      <c r="C28" s="826" t="s">
        <v>12</v>
      </c>
      <c r="D28" s="826" t="s">
        <v>129</v>
      </c>
      <c r="E28" s="826" t="s">
        <v>14</v>
      </c>
      <c r="F28" s="827" t="s">
        <v>23</v>
      </c>
      <c r="G28" s="825" t="s">
        <v>130</v>
      </c>
      <c r="H28" s="829" t="s">
        <v>110</v>
      </c>
      <c r="I28" s="828"/>
    </row>
    <row r="29" spans="1:9" ht="15.75">
      <c r="A29" s="824">
        <v>45464</v>
      </c>
      <c r="B29" s="830" t="s">
        <v>110</v>
      </c>
      <c r="C29" s="831" t="s">
        <v>137</v>
      </c>
      <c r="D29" s="831" t="s">
        <v>63</v>
      </c>
      <c r="E29" s="831" t="s">
        <v>23</v>
      </c>
      <c r="F29" s="832"/>
      <c r="G29" s="830" t="s">
        <v>110</v>
      </c>
      <c r="H29" s="834" t="s">
        <v>137</v>
      </c>
      <c r="I29" s="835" t="s">
        <v>23</v>
      </c>
    </row>
    <row r="30" spans="1:9" ht="15.75">
      <c r="A30" s="824">
        <v>45465</v>
      </c>
      <c r="B30" s="825" t="s">
        <v>21</v>
      </c>
      <c r="C30" s="826" t="s">
        <v>12</v>
      </c>
      <c r="D30" s="826" t="s">
        <v>129</v>
      </c>
      <c r="E30" s="826" t="s">
        <v>109</v>
      </c>
      <c r="F30" s="827" t="s">
        <v>23</v>
      </c>
      <c r="G30" s="820" t="s">
        <v>21</v>
      </c>
      <c r="H30" s="825" t="s">
        <v>109</v>
      </c>
      <c r="I30" s="828"/>
    </row>
    <row r="31" spans="1:9" ht="15.75">
      <c r="A31" s="824">
        <v>45466</v>
      </c>
      <c r="B31" s="825" t="s">
        <v>130</v>
      </c>
      <c r="C31" s="826" t="s">
        <v>12</v>
      </c>
      <c r="D31" s="826" t="s">
        <v>129</v>
      </c>
      <c r="E31" s="826" t="s">
        <v>14</v>
      </c>
      <c r="F31" s="827" t="s">
        <v>23</v>
      </c>
      <c r="G31" s="825" t="s">
        <v>130</v>
      </c>
      <c r="H31" s="825" t="s">
        <v>63</v>
      </c>
      <c r="I31" s="828" t="s">
        <v>139</v>
      </c>
    </row>
    <row r="32" spans="1:9" ht="15.75">
      <c r="A32" s="824">
        <v>45467</v>
      </c>
      <c r="B32" s="825" t="s">
        <v>110</v>
      </c>
      <c r="C32" s="826" t="s">
        <v>12</v>
      </c>
      <c r="D32" s="826" t="s">
        <v>129</v>
      </c>
      <c r="E32" s="826" t="s">
        <v>14</v>
      </c>
      <c r="F32" s="827" t="s">
        <v>23</v>
      </c>
      <c r="G32" s="825" t="s">
        <v>110</v>
      </c>
      <c r="H32" s="829" t="s">
        <v>109</v>
      </c>
      <c r="I32" s="828" t="s">
        <v>133</v>
      </c>
    </row>
    <row r="33" spans="1:9" ht="15.75">
      <c r="A33" s="824">
        <v>45468</v>
      </c>
      <c r="B33" s="825" t="s">
        <v>110</v>
      </c>
      <c r="C33" s="826" t="s">
        <v>12</v>
      </c>
      <c r="D33" s="826" t="s">
        <v>129</v>
      </c>
      <c r="E33" s="826" t="s">
        <v>14</v>
      </c>
      <c r="F33" s="827" t="s">
        <v>23</v>
      </c>
      <c r="G33" s="820" t="s">
        <v>110</v>
      </c>
      <c r="H33" s="829" t="s">
        <v>137</v>
      </c>
      <c r="I33" s="828" t="s">
        <v>133</v>
      </c>
    </row>
    <row r="34" spans="1:9" ht="15.75">
      <c r="A34" s="824">
        <v>45469</v>
      </c>
      <c r="B34" s="825" t="s">
        <v>130</v>
      </c>
      <c r="C34" s="826" t="s">
        <v>12</v>
      </c>
      <c r="D34" s="826" t="s">
        <v>129</v>
      </c>
      <c r="E34" s="826" t="s">
        <v>14</v>
      </c>
      <c r="F34" s="827" t="s">
        <v>23</v>
      </c>
      <c r="G34" s="825" t="s">
        <v>130</v>
      </c>
      <c r="H34" s="829" t="s">
        <v>109</v>
      </c>
      <c r="I34" s="828"/>
    </row>
    <row r="35" spans="1:9" ht="15.75">
      <c r="A35" s="824">
        <v>45470</v>
      </c>
      <c r="B35" s="825" t="s">
        <v>110</v>
      </c>
      <c r="C35" s="826" t="s">
        <v>12</v>
      </c>
      <c r="D35" s="826" t="s">
        <v>129</v>
      </c>
      <c r="E35" s="826" t="s">
        <v>14</v>
      </c>
      <c r="F35" s="827" t="s">
        <v>23</v>
      </c>
      <c r="G35" s="825" t="s">
        <v>23</v>
      </c>
      <c r="H35" s="829" t="s">
        <v>144</v>
      </c>
      <c r="I35" s="828" t="s">
        <v>143</v>
      </c>
    </row>
    <row r="36" spans="1:9" ht="15.75">
      <c r="A36" s="824">
        <v>45471</v>
      </c>
      <c r="B36" s="830" t="s">
        <v>21</v>
      </c>
      <c r="C36" s="831" t="s">
        <v>137</v>
      </c>
      <c r="D36" s="831" t="s">
        <v>63</v>
      </c>
      <c r="E36" s="831" t="s">
        <v>110</v>
      </c>
      <c r="F36" s="832"/>
      <c r="G36" s="833" t="s">
        <v>21</v>
      </c>
      <c r="H36" s="834" t="s">
        <v>137</v>
      </c>
      <c r="I36" s="835" t="s">
        <v>145</v>
      </c>
    </row>
    <row r="37" spans="1:9" ht="15.75">
      <c r="A37" s="824">
        <v>45472</v>
      </c>
      <c r="B37" s="825" t="s">
        <v>130</v>
      </c>
      <c r="C37" s="826" t="s">
        <v>12</v>
      </c>
      <c r="D37" s="826" t="s">
        <v>129</v>
      </c>
      <c r="E37" s="826" t="s">
        <v>109</v>
      </c>
      <c r="F37" s="827" t="s">
        <v>23</v>
      </c>
      <c r="G37" s="825" t="s">
        <v>130</v>
      </c>
      <c r="H37" s="825" t="s">
        <v>109</v>
      </c>
      <c r="I37" s="828" t="s">
        <v>143</v>
      </c>
    </row>
    <row r="38" spans="1:9" ht="15.75">
      <c r="A38" s="824">
        <v>45473</v>
      </c>
      <c r="B38" s="825" t="s">
        <v>146</v>
      </c>
      <c r="C38" s="826" t="s">
        <v>12</v>
      </c>
      <c r="D38" s="826" t="s">
        <v>129</v>
      </c>
      <c r="E38" s="826" t="s">
        <v>14</v>
      </c>
      <c r="F38" s="827" t="s">
        <v>23</v>
      </c>
      <c r="G38" s="825" t="s">
        <v>146</v>
      </c>
      <c r="H38" s="825" t="s">
        <v>23</v>
      </c>
      <c r="I38" s="828" t="s">
        <v>139</v>
      </c>
    </row>
    <row r="39" spans="1:9" ht="15.75">
      <c r="A39" s="840"/>
      <c r="B39" s="841"/>
      <c r="C39" s="842"/>
      <c r="D39" s="843"/>
      <c r="E39" s="844"/>
      <c r="F39" s="845"/>
      <c r="G39" s="841"/>
      <c r="H39" s="846"/>
      <c r="I39" s="847"/>
    </row>
    <row r="40" spans="1:9" ht="15.75">
      <c r="A40" s="848"/>
      <c r="B40" s="849" t="s">
        <v>113</v>
      </c>
      <c r="C40" s="850" t="s">
        <v>114</v>
      </c>
      <c r="D40" s="1174"/>
      <c r="E40" s="1175"/>
      <c r="F40" s="1176"/>
      <c r="G40" s="851" t="s">
        <v>115</v>
      </c>
      <c r="H40" s="1174" t="s">
        <v>114</v>
      </c>
      <c r="I40" s="1177"/>
    </row>
    <row r="41" spans="1:9">
      <c r="A41" s="507" t="s">
        <v>116</v>
      </c>
      <c r="B41" s="808"/>
      <c r="C41" s="808"/>
      <c r="D41" s="1159" t="s">
        <v>137</v>
      </c>
      <c r="E41" s="1159"/>
      <c r="F41" s="1159"/>
      <c r="G41" s="808">
        <v>5</v>
      </c>
      <c r="H41" s="809">
        <v>6</v>
      </c>
      <c r="I41" s="852"/>
    </row>
    <row r="42" spans="1:9">
      <c r="A42" s="322" t="s">
        <v>118</v>
      </c>
      <c r="B42" s="317">
        <v>3</v>
      </c>
      <c r="C42" s="317">
        <v>2</v>
      </c>
      <c r="D42" s="1160" t="s">
        <v>119</v>
      </c>
      <c r="E42" s="1160"/>
      <c r="F42" s="1160"/>
      <c r="G42" s="317">
        <v>5</v>
      </c>
      <c r="H42" s="330">
        <v>9</v>
      </c>
      <c r="I42" s="318"/>
    </row>
    <row r="43" spans="1:9">
      <c r="A43" s="322" t="s">
        <v>147</v>
      </c>
      <c r="B43" s="317">
        <v>3</v>
      </c>
      <c r="C43" s="317"/>
      <c r="D43" s="1161" t="s">
        <v>148</v>
      </c>
      <c r="E43" s="1162"/>
      <c r="F43" s="1163"/>
      <c r="G43" s="1164" t="s">
        <v>149</v>
      </c>
      <c r="H43" s="1165"/>
      <c r="I43" s="318"/>
    </row>
    <row r="44" spans="1:9">
      <c r="A44" s="322" t="s">
        <v>150</v>
      </c>
      <c r="B44" s="317"/>
      <c r="C44" s="317" t="s">
        <v>151</v>
      </c>
      <c r="D44" s="1160" t="s">
        <v>152</v>
      </c>
      <c r="E44" s="1160"/>
      <c r="F44" s="1160"/>
      <c r="G44" s="317"/>
      <c r="H44" s="317" t="s">
        <v>153</v>
      </c>
      <c r="I44" s="317"/>
    </row>
    <row r="45" spans="1:9">
      <c r="A45" s="322" t="s">
        <v>122</v>
      </c>
      <c r="B45" s="317"/>
      <c r="C45" s="317" t="s">
        <v>154</v>
      </c>
      <c r="D45" s="1166" t="s">
        <v>155</v>
      </c>
      <c r="E45" s="1147"/>
      <c r="F45" s="1147"/>
      <c r="G45" s="1147"/>
      <c r="H45" s="1147"/>
      <c r="I45" s="1167"/>
    </row>
    <row r="46" spans="1:9">
      <c r="A46" s="322" t="s">
        <v>124</v>
      </c>
      <c r="B46" s="317"/>
      <c r="C46" s="317"/>
      <c r="I46" s="853"/>
    </row>
    <row r="47" spans="1:9">
      <c r="A47" s="502" t="s">
        <v>156</v>
      </c>
      <c r="B47" s="333"/>
      <c r="C47" s="333"/>
      <c r="I47" s="853"/>
    </row>
    <row r="48" spans="1:9">
      <c r="A48" s="337" t="s">
        <v>146</v>
      </c>
      <c r="B48" s="1168" t="s">
        <v>157</v>
      </c>
      <c r="C48" s="1169"/>
      <c r="D48" s="854"/>
      <c r="E48" s="854"/>
      <c r="F48" s="854"/>
      <c r="G48" s="854"/>
      <c r="H48" s="854"/>
      <c r="I48" s="855"/>
    </row>
    <row r="50" spans="1:9">
      <c r="A50" s="1170"/>
      <c r="B50" s="1170"/>
      <c r="C50" s="1170"/>
      <c r="D50" s="1170"/>
      <c r="E50" s="1170"/>
      <c r="F50" s="1170"/>
      <c r="G50" s="856"/>
      <c r="H50" s="856"/>
      <c r="I50" s="856"/>
    </row>
    <row r="51" spans="1:9">
      <c r="A51" s="1147"/>
      <c r="B51" s="1147"/>
      <c r="C51" s="1147"/>
      <c r="D51" s="1147"/>
      <c r="E51" s="1147"/>
      <c r="F51" s="1147"/>
    </row>
    <row r="52" spans="1:9">
      <c r="A52" s="64"/>
      <c r="B52" s="857" t="s">
        <v>158</v>
      </c>
      <c r="C52" s="1153" t="s">
        <v>159</v>
      </c>
      <c r="D52" s="1156"/>
      <c r="E52" s="1153" t="s">
        <v>160</v>
      </c>
      <c r="F52" s="1154"/>
      <c r="G52" s="1147"/>
      <c r="H52" s="1147"/>
    </row>
    <row r="53" spans="1:9" ht="15.75">
      <c r="A53" s="767">
        <v>45444</v>
      </c>
      <c r="B53" s="858" t="s">
        <v>161</v>
      </c>
      <c r="C53" s="1150" t="s">
        <v>162</v>
      </c>
      <c r="D53" s="1152"/>
      <c r="E53" s="1150" t="s">
        <v>163</v>
      </c>
      <c r="F53" s="1151"/>
      <c r="G53" s="1147"/>
      <c r="H53" s="1147"/>
    </row>
    <row r="54" spans="1:9" ht="15.75">
      <c r="A54" s="824">
        <v>45445</v>
      </c>
      <c r="B54" s="858" t="s">
        <v>161</v>
      </c>
      <c r="C54" s="1150" t="s">
        <v>162</v>
      </c>
      <c r="D54" s="1152"/>
      <c r="E54" s="1150" t="s">
        <v>163</v>
      </c>
      <c r="F54" s="1151"/>
      <c r="G54" s="1147"/>
      <c r="H54" s="1147"/>
    </row>
    <row r="55" spans="1:9" ht="15.75">
      <c r="A55" s="824">
        <v>45446</v>
      </c>
      <c r="B55" s="858" t="s">
        <v>161</v>
      </c>
      <c r="C55" s="1150" t="s">
        <v>162</v>
      </c>
      <c r="D55" s="1152"/>
      <c r="E55" s="1150" t="s">
        <v>164</v>
      </c>
      <c r="F55" s="1151"/>
      <c r="G55" s="1147"/>
      <c r="H55" s="1147"/>
    </row>
    <row r="56" spans="1:9" ht="15.75">
      <c r="A56" s="824">
        <v>45447</v>
      </c>
      <c r="B56" s="858" t="s">
        <v>161</v>
      </c>
      <c r="C56" s="1150" t="s">
        <v>162</v>
      </c>
      <c r="D56" s="1152"/>
      <c r="E56" s="1150" t="s">
        <v>164</v>
      </c>
      <c r="F56" s="1151"/>
      <c r="G56" s="1147"/>
      <c r="H56" s="1147"/>
    </row>
    <row r="57" spans="1:9" ht="15.75">
      <c r="A57" s="824">
        <v>45448</v>
      </c>
      <c r="B57" s="858" t="s">
        <v>161</v>
      </c>
      <c r="C57" s="1150" t="s">
        <v>162</v>
      </c>
      <c r="D57" s="1152"/>
      <c r="E57" s="1150" t="s">
        <v>163</v>
      </c>
      <c r="F57" s="1151"/>
      <c r="G57" s="1147"/>
      <c r="H57" s="1147"/>
    </row>
    <row r="58" spans="1:9" ht="15.75">
      <c r="A58" s="824">
        <v>45449</v>
      </c>
      <c r="B58" s="858" t="s">
        <v>161</v>
      </c>
      <c r="C58" s="1150" t="s">
        <v>162</v>
      </c>
      <c r="D58" s="1152"/>
      <c r="E58" s="1150" t="s">
        <v>163</v>
      </c>
      <c r="F58" s="1151"/>
      <c r="G58" s="1147"/>
      <c r="H58" s="1147"/>
    </row>
    <row r="59" spans="1:9" ht="15.75">
      <c r="A59" s="824">
        <v>45450</v>
      </c>
      <c r="B59" s="858"/>
      <c r="C59" s="1150" t="s">
        <v>163</v>
      </c>
      <c r="D59" s="1152"/>
      <c r="E59" s="1150" t="s">
        <v>164</v>
      </c>
      <c r="F59" s="1151"/>
      <c r="G59" s="1147"/>
      <c r="H59" s="1147"/>
    </row>
    <row r="60" spans="1:9" ht="15.75">
      <c r="A60" s="824">
        <v>45451</v>
      </c>
      <c r="B60" s="858" t="s">
        <v>161</v>
      </c>
      <c r="C60" s="1150" t="s">
        <v>164</v>
      </c>
      <c r="D60" s="1152"/>
      <c r="E60" s="1150" t="s">
        <v>164</v>
      </c>
      <c r="F60" s="1151"/>
      <c r="G60" s="1147"/>
      <c r="H60" s="1147"/>
    </row>
    <row r="61" spans="1:9" ht="15.75">
      <c r="A61" s="824">
        <v>45452</v>
      </c>
      <c r="B61" s="858" t="s">
        <v>161</v>
      </c>
      <c r="C61" s="1150" t="s">
        <v>162</v>
      </c>
      <c r="D61" s="1152"/>
      <c r="E61" s="1150" t="s">
        <v>163</v>
      </c>
      <c r="F61" s="1151"/>
      <c r="G61" s="1147"/>
      <c r="H61" s="1147"/>
    </row>
    <row r="62" spans="1:9" ht="15.75">
      <c r="A62" s="824">
        <v>45453</v>
      </c>
      <c r="B62" s="858" t="s">
        <v>161</v>
      </c>
      <c r="C62" s="1150" t="s">
        <v>162</v>
      </c>
      <c r="D62" s="1152"/>
      <c r="E62" s="1150" t="s">
        <v>163</v>
      </c>
      <c r="F62" s="1151"/>
      <c r="G62" s="1147"/>
      <c r="H62" s="1147"/>
    </row>
    <row r="63" spans="1:9" ht="15.75">
      <c r="A63" s="824">
        <v>45454</v>
      </c>
      <c r="B63" s="858" t="s">
        <v>161</v>
      </c>
      <c r="C63" s="1150" t="s">
        <v>162</v>
      </c>
      <c r="D63" s="1152"/>
      <c r="E63" s="1150" t="s">
        <v>164</v>
      </c>
      <c r="F63" s="1151"/>
      <c r="G63" s="1147"/>
      <c r="H63" s="1147"/>
    </row>
    <row r="64" spans="1:9" ht="15.75">
      <c r="A64" s="824">
        <v>45455</v>
      </c>
      <c r="B64" s="858" t="s">
        <v>161</v>
      </c>
      <c r="C64" s="1150" t="s">
        <v>162</v>
      </c>
      <c r="D64" s="1152"/>
      <c r="E64" s="1150" t="s">
        <v>164</v>
      </c>
      <c r="F64" s="1151"/>
      <c r="G64" s="1147"/>
      <c r="H64" s="1147"/>
    </row>
    <row r="65" spans="1:8" ht="15.75">
      <c r="A65" s="824">
        <v>45456</v>
      </c>
      <c r="B65" s="858" t="s">
        <v>161</v>
      </c>
      <c r="C65" s="1150" t="s">
        <v>162</v>
      </c>
      <c r="D65" s="1152"/>
      <c r="E65" s="1150" t="s">
        <v>163</v>
      </c>
      <c r="F65" s="1151"/>
      <c r="G65" s="1147"/>
      <c r="H65" s="1147"/>
    </row>
    <row r="66" spans="1:8" ht="15.75">
      <c r="A66" s="824">
        <v>45457</v>
      </c>
      <c r="B66" s="858" t="s">
        <v>161</v>
      </c>
      <c r="C66" s="1150" t="s">
        <v>163</v>
      </c>
      <c r="D66" s="1152"/>
      <c r="E66" s="1150" t="s">
        <v>163</v>
      </c>
      <c r="F66" s="1151"/>
      <c r="G66" s="1147"/>
      <c r="H66" s="1147"/>
    </row>
    <row r="67" spans="1:8" ht="15.75">
      <c r="A67" s="824">
        <v>45458</v>
      </c>
      <c r="B67" s="858" t="s">
        <v>161</v>
      </c>
      <c r="C67" s="1150" t="s">
        <v>164</v>
      </c>
      <c r="D67" s="1152"/>
      <c r="E67" s="1150" t="s">
        <v>164</v>
      </c>
      <c r="F67" s="1151"/>
      <c r="G67" s="1147"/>
      <c r="H67" s="1147"/>
    </row>
    <row r="68" spans="1:8" ht="15.75">
      <c r="A68" s="824">
        <v>45459</v>
      </c>
      <c r="B68" s="858" t="s">
        <v>161</v>
      </c>
      <c r="C68" s="1150" t="s">
        <v>162</v>
      </c>
      <c r="D68" s="1152"/>
      <c r="E68" s="1150" t="s">
        <v>164</v>
      </c>
      <c r="F68" s="1151"/>
      <c r="G68" s="1147"/>
      <c r="H68" s="1147"/>
    </row>
    <row r="69" spans="1:8" ht="15.75">
      <c r="A69" s="824">
        <v>45460</v>
      </c>
      <c r="B69" s="858" t="s">
        <v>165</v>
      </c>
      <c r="C69" s="1150" t="s">
        <v>162</v>
      </c>
      <c r="D69" s="1152"/>
      <c r="E69" s="1150" t="s">
        <v>163</v>
      </c>
      <c r="F69" s="1151"/>
      <c r="G69" s="1147"/>
      <c r="H69" s="1147"/>
    </row>
    <row r="70" spans="1:8" ht="15.75">
      <c r="A70" s="824">
        <v>45461</v>
      </c>
      <c r="B70" s="858" t="s">
        <v>166</v>
      </c>
      <c r="C70" s="1150" t="s">
        <v>162</v>
      </c>
      <c r="D70" s="1152"/>
      <c r="E70" s="1150" t="s">
        <v>163</v>
      </c>
      <c r="F70" s="1151"/>
      <c r="G70" s="1147"/>
      <c r="H70" s="1147"/>
    </row>
    <row r="71" spans="1:8" ht="15.75">
      <c r="A71" s="824">
        <v>45462</v>
      </c>
      <c r="B71" s="858" t="s">
        <v>161</v>
      </c>
      <c r="C71" s="1150" t="s">
        <v>162</v>
      </c>
      <c r="D71" s="1152"/>
      <c r="E71" s="1150" t="s">
        <v>164</v>
      </c>
      <c r="F71" s="1151"/>
      <c r="G71" s="1147"/>
      <c r="H71" s="1147"/>
    </row>
    <row r="72" spans="1:8" ht="15.75">
      <c r="A72" s="824">
        <v>45463</v>
      </c>
      <c r="B72" s="858" t="s">
        <v>161</v>
      </c>
      <c r="C72" s="1150" t="s">
        <v>162</v>
      </c>
      <c r="D72" s="1152"/>
      <c r="E72" s="1150" t="s">
        <v>164</v>
      </c>
      <c r="F72" s="1151"/>
      <c r="G72" s="1147"/>
      <c r="H72" s="1147"/>
    </row>
    <row r="73" spans="1:8" ht="15.75">
      <c r="A73" s="824">
        <v>45464</v>
      </c>
      <c r="B73" s="858"/>
      <c r="C73" s="1150" t="s">
        <v>163</v>
      </c>
      <c r="D73" s="1152"/>
      <c r="E73" s="1150" t="s">
        <v>163</v>
      </c>
      <c r="F73" s="1151"/>
      <c r="G73" s="1147"/>
      <c r="H73" s="1147"/>
    </row>
    <row r="74" spans="1:8" ht="15.75">
      <c r="A74" s="824">
        <v>45465</v>
      </c>
      <c r="B74" s="858" t="s">
        <v>161</v>
      </c>
      <c r="C74" s="1150" t="s">
        <v>164</v>
      </c>
      <c r="D74" s="1152"/>
      <c r="E74" s="1150" t="s">
        <v>163</v>
      </c>
      <c r="F74" s="1151"/>
      <c r="G74" s="1147"/>
      <c r="H74" s="1147"/>
    </row>
    <row r="75" spans="1:8" ht="15.75">
      <c r="A75" s="824">
        <v>45466</v>
      </c>
      <c r="B75" s="858" t="s">
        <v>161</v>
      </c>
      <c r="C75" s="1150" t="s">
        <v>162</v>
      </c>
      <c r="D75" s="1152"/>
      <c r="E75" s="1150" t="s">
        <v>164</v>
      </c>
      <c r="F75" s="1151"/>
      <c r="G75" s="1147"/>
      <c r="H75" s="1147"/>
    </row>
    <row r="76" spans="1:8" ht="15.75">
      <c r="A76" s="824">
        <v>45467</v>
      </c>
      <c r="B76" s="858" t="s">
        <v>161</v>
      </c>
      <c r="C76" s="1150" t="s">
        <v>162</v>
      </c>
      <c r="D76" s="1152"/>
      <c r="E76" s="1150" t="s">
        <v>164</v>
      </c>
      <c r="F76" s="1151"/>
      <c r="G76" s="1147"/>
      <c r="H76" s="1147"/>
    </row>
    <row r="77" spans="1:8" ht="15.75">
      <c r="A77" s="824">
        <v>45468</v>
      </c>
      <c r="B77" s="858" t="s">
        <v>161</v>
      </c>
      <c r="C77" s="1150" t="s">
        <v>162</v>
      </c>
      <c r="D77" s="1152"/>
      <c r="E77" s="1150" t="s">
        <v>163</v>
      </c>
      <c r="F77" s="1151"/>
      <c r="G77" s="1147"/>
      <c r="H77" s="1147"/>
    </row>
    <row r="78" spans="1:8" ht="15.75">
      <c r="A78" s="824">
        <v>45469</v>
      </c>
      <c r="B78" s="858" t="s">
        <v>161</v>
      </c>
      <c r="C78" s="1150" t="s">
        <v>162</v>
      </c>
      <c r="D78" s="1152"/>
      <c r="E78" s="1150" t="s">
        <v>163</v>
      </c>
      <c r="F78" s="1151"/>
      <c r="G78" s="1147"/>
      <c r="H78" s="1147"/>
    </row>
    <row r="79" spans="1:8" ht="15.75">
      <c r="A79" s="824">
        <v>45470</v>
      </c>
      <c r="B79" s="858" t="s">
        <v>167</v>
      </c>
      <c r="C79" s="1150" t="s">
        <v>162</v>
      </c>
      <c r="D79" s="1152"/>
      <c r="E79" s="1150" t="s">
        <v>164</v>
      </c>
      <c r="F79" s="1151"/>
      <c r="G79" s="1147"/>
      <c r="H79" s="1147"/>
    </row>
    <row r="80" spans="1:8" ht="15.75">
      <c r="A80" s="824">
        <v>45471</v>
      </c>
      <c r="B80" s="858" t="s">
        <v>161</v>
      </c>
      <c r="C80" s="1150" t="s">
        <v>163</v>
      </c>
      <c r="D80" s="1152"/>
      <c r="E80" s="1150" t="s">
        <v>164</v>
      </c>
      <c r="F80" s="1151"/>
      <c r="G80" s="1147"/>
      <c r="H80" s="1147"/>
    </row>
    <row r="81" spans="1:9" ht="15.75">
      <c r="A81" s="824">
        <v>45472</v>
      </c>
      <c r="B81" s="858" t="s">
        <v>161</v>
      </c>
      <c r="C81" s="1150" t="s">
        <v>164</v>
      </c>
      <c r="D81" s="1152"/>
      <c r="E81" s="1150" t="s">
        <v>163</v>
      </c>
      <c r="F81" s="1151"/>
      <c r="G81" s="1147"/>
      <c r="H81" s="1147"/>
    </row>
    <row r="82" spans="1:9" ht="15.75">
      <c r="A82" s="859">
        <v>45473</v>
      </c>
      <c r="B82" s="857" t="s">
        <v>161</v>
      </c>
      <c r="C82" s="1153" t="s">
        <v>162</v>
      </c>
      <c r="D82" s="1156"/>
      <c r="E82" s="1150" t="s">
        <v>163</v>
      </c>
      <c r="F82" s="1151"/>
      <c r="G82" s="1147"/>
      <c r="H82" s="1147"/>
    </row>
    <row r="83" spans="1:9">
      <c r="A83" s="860"/>
      <c r="C83" s="861"/>
      <c r="D83" s="862"/>
      <c r="E83" s="861"/>
      <c r="F83" s="863"/>
    </row>
    <row r="84" spans="1:9">
      <c r="A84" s="699"/>
      <c r="B84" s="1153" t="s">
        <v>158</v>
      </c>
      <c r="C84" s="1154"/>
      <c r="D84" s="1153" t="s">
        <v>168</v>
      </c>
      <c r="E84" s="1156"/>
      <c r="F84" s="1154"/>
    </row>
    <row r="85" spans="1:9">
      <c r="A85" s="635" t="s">
        <v>169</v>
      </c>
      <c r="B85" s="1150">
        <v>2</v>
      </c>
      <c r="C85" s="1151"/>
      <c r="D85" s="1152">
        <v>2</v>
      </c>
      <c r="E85" s="1152"/>
      <c r="F85" s="1151"/>
    </row>
    <row r="86" spans="1:9">
      <c r="A86" s="44" t="s">
        <v>170</v>
      </c>
      <c r="B86" s="1150">
        <v>1</v>
      </c>
      <c r="C86" s="1151"/>
      <c r="D86" s="1152"/>
      <c r="E86" s="1152"/>
      <c r="F86" s="1151"/>
    </row>
    <row r="87" spans="1:9">
      <c r="A87" s="699" t="s">
        <v>171</v>
      </c>
      <c r="B87" s="1150" t="s">
        <v>172</v>
      </c>
      <c r="C87" s="1151"/>
      <c r="D87" s="1152"/>
      <c r="E87" s="1152"/>
      <c r="F87" s="1151"/>
    </row>
    <row r="88" spans="1:9">
      <c r="A88" s="68" t="s">
        <v>173</v>
      </c>
      <c r="B88" s="1153">
        <v>4</v>
      </c>
      <c r="C88" s="1154"/>
      <c r="D88" s="1155" t="s">
        <v>174</v>
      </c>
      <c r="E88" s="1156"/>
      <c r="F88" s="1154"/>
    </row>
    <row r="90" spans="1:9">
      <c r="A90" s="856"/>
      <c r="B90" s="856"/>
      <c r="C90" s="856"/>
      <c r="D90" s="856"/>
      <c r="E90" s="856"/>
      <c r="F90" s="856"/>
      <c r="G90" s="856"/>
      <c r="H90" s="856"/>
      <c r="I90" s="856"/>
    </row>
    <row r="91" spans="1:9">
      <c r="A91" s="195" t="s">
        <v>175</v>
      </c>
    </row>
    <row r="92" spans="1:9">
      <c r="A92" s="1146" t="s">
        <v>176</v>
      </c>
      <c r="B92" s="1146"/>
      <c r="C92" s="1146"/>
      <c r="D92" s="1146"/>
      <c r="E92" s="1146"/>
      <c r="F92" s="1146"/>
    </row>
  </sheetData>
  <mergeCells count="129">
    <mergeCell ref="C5:D5"/>
    <mergeCell ref="B6:F6"/>
    <mergeCell ref="G6:I6"/>
    <mergeCell ref="C7:F7"/>
    <mergeCell ref="C24:F24"/>
    <mergeCell ref="C25:F25"/>
    <mergeCell ref="C26:F26"/>
    <mergeCell ref="D40:F40"/>
    <mergeCell ref="H40:I40"/>
    <mergeCell ref="I7:I8"/>
    <mergeCell ref="D41:F41"/>
    <mergeCell ref="D42:F42"/>
    <mergeCell ref="D43:F43"/>
    <mergeCell ref="G43:H43"/>
    <mergeCell ref="D44:F44"/>
    <mergeCell ref="D45:I45"/>
    <mergeCell ref="B48:C48"/>
    <mergeCell ref="A50:F50"/>
    <mergeCell ref="A51:F51"/>
    <mergeCell ref="C52:D52"/>
    <mergeCell ref="E52:F52"/>
    <mergeCell ref="G52:H52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G56:H56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0:D60"/>
    <mergeCell ref="E60:F60"/>
    <mergeCell ref="G60:H60"/>
    <mergeCell ref="C61:D61"/>
    <mergeCell ref="E61:F61"/>
    <mergeCell ref="G61:H61"/>
    <mergeCell ref="C62:D62"/>
    <mergeCell ref="E62:F62"/>
    <mergeCell ref="G62:H62"/>
    <mergeCell ref="C63:D63"/>
    <mergeCell ref="E63:F63"/>
    <mergeCell ref="G63:H63"/>
    <mergeCell ref="C64:D64"/>
    <mergeCell ref="E64:F64"/>
    <mergeCell ref="G64:H64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C74:D74"/>
    <mergeCell ref="E74:F74"/>
    <mergeCell ref="G74:H74"/>
    <mergeCell ref="C75:D75"/>
    <mergeCell ref="E75:F75"/>
    <mergeCell ref="G75:H75"/>
    <mergeCell ref="E80:F80"/>
    <mergeCell ref="G80:H80"/>
    <mergeCell ref="C81:D81"/>
    <mergeCell ref="E81:F81"/>
    <mergeCell ref="G81:H81"/>
    <mergeCell ref="C76:D76"/>
    <mergeCell ref="E76:F76"/>
    <mergeCell ref="G76:H76"/>
    <mergeCell ref="C77:D77"/>
    <mergeCell ref="E77:F77"/>
    <mergeCell ref="G77:H77"/>
    <mergeCell ref="C78:D78"/>
    <mergeCell ref="E78:F78"/>
    <mergeCell ref="G78:H78"/>
    <mergeCell ref="B87:C87"/>
    <mergeCell ref="D87:F87"/>
    <mergeCell ref="B88:C88"/>
    <mergeCell ref="D88:F88"/>
    <mergeCell ref="A92:F92"/>
    <mergeCell ref="A1:A4"/>
    <mergeCell ref="A6:A8"/>
    <mergeCell ref="G7:G8"/>
    <mergeCell ref="H7:H8"/>
    <mergeCell ref="B1:F4"/>
    <mergeCell ref="G1:I5"/>
    <mergeCell ref="C82:D82"/>
    <mergeCell ref="E82:F82"/>
    <mergeCell ref="G82:H82"/>
    <mergeCell ref="B84:C84"/>
    <mergeCell ref="D84:F84"/>
    <mergeCell ref="B85:C85"/>
    <mergeCell ref="D85:F85"/>
    <mergeCell ref="B86:C86"/>
    <mergeCell ref="D86:F86"/>
    <mergeCell ref="C79:D79"/>
    <mergeCell ref="E79:F79"/>
    <mergeCell ref="G79:H79"/>
    <mergeCell ref="C80:D80"/>
  </mergeCells>
  <pageMargins left="0.25" right="0.25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3"/>
  <sheetViews>
    <sheetView topLeftCell="A58" workbookViewId="0">
      <selection activeCell="C96" sqref="C96"/>
    </sheetView>
  </sheetViews>
  <sheetFormatPr baseColWidth="10" defaultColWidth="11" defaultRowHeight="15"/>
  <cols>
    <col min="1" max="1" width="26.85546875" customWidth="1"/>
    <col min="2" max="6" width="14" customWidth="1"/>
    <col min="8" max="8" width="8.5703125" customWidth="1"/>
    <col min="9" max="9" width="6.42578125" customWidth="1"/>
  </cols>
  <sheetData>
    <row r="1" spans="1:10">
      <c r="A1" s="1083"/>
      <c r="B1" s="1094" t="s">
        <v>177</v>
      </c>
      <c r="C1" s="1094"/>
      <c r="D1" s="1094"/>
      <c r="E1" s="1094"/>
      <c r="F1" s="1094"/>
      <c r="G1" s="1179"/>
      <c r="H1" s="1179"/>
      <c r="I1" s="1179"/>
      <c r="J1" s="796"/>
    </row>
    <row r="2" spans="1:10">
      <c r="A2" s="1083"/>
      <c r="B2" s="1094"/>
      <c r="C2" s="1094"/>
      <c r="D2" s="1094"/>
      <c r="E2" s="1094"/>
      <c r="F2" s="1094"/>
      <c r="G2" s="1179"/>
      <c r="H2" s="1179"/>
      <c r="I2" s="1179"/>
      <c r="J2" s="796"/>
    </row>
    <row r="3" spans="1:10">
      <c r="A3" s="1083"/>
      <c r="B3" s="1094"/>
      <c r="C3" s="1094"/>
      <c r="D3" s="1094"/>
      <c r="E3" s="1094"/>
      <c r="F3" s="1094"/>
      <c r="G3" s="1179"/>
      <c r="H3" s="1179"/>
      <c r="I3" s="1179"/>
      <c r="J3" s="796"/>
    </row>
    <row r="4" spans="1:10">
      <c r="A4" s="1083"/>
      <c r="B4" s="1094"/>
      <c r="C4" s="1094"/>
      <c r="D4" s="1094"/>
      <c r="E4" s="1094"/>
      <c r="F4" s="1094"/>
      <c r="G4" s="1179"/>
      <c r="H4" s="1179"/>
      <c r="I4" s="1179"/>
      <c r="J4" s="796"/>
    </row>
    <row r="5" spans="1:10" ht="15.75">
      <c r="A5" s="1134" t="s">
        <v>2</v>
      </c>
      <c r="B5" s="1138" t="s">
        <v>40</v>
      </c>
      <c r="C5" s="1139"/>
      <c r="D5" s="1139"/>
      <c r="E5" s="1139"/>
      <c r="F5" s="1139"/>
      <c r="G5" s="1217"/>
      <c r="H5" s="1217"/>
      <c r="I5" s="1217"/>
      <c r="J5" s="796"/>
    </row>
    <row r="6" spans="1:10" ht="15.75">
      <c r="A6" s="1135"/>
      <c r="B6" s="737" t="s">
        <v>5</v>
      </c>
      <c r="C6" s="1142" t="s">
        <v>6</v>
      </c>
      <c r="D6" s="1143"/>
      <c r="E6" s="1143"/>
      <c r="F6" s="1143"/>
      <c r="G6" s="1220"/>
      <c r="H6" s="1220"/>
      <c r="I6" s="1220"/>
      <c r="J6" s="796"/>
    </row>
    <row r="7" spans="1:10" ht="15.75">
      <c r="A7" s="1157"/>
      <c r="B7" s="764" t="s">
        <v>178</v>
      </c>
      <c r="C7" s="765" t="s">
        <v>8</v>
      </c>
      <c r="D7" s="765" t="s">
        <v>9</v>
      </c>
      <c r="E7" s="765" t="s">
        <v>10</v>
      </c>
      <c r="F7" s="798" t="s">
        <v>7</v>
      </c>
      <c r="G7" s="1220"/>
      <c r="H7" s="1220"/>
      <c r="I7" s="1220"/>
      <c r="J7" s="796"/>
    </row>
    <row r="8" spans="1:10" ht="15.75">
      <c r="A8" s="767">
        <v>45474</v>
      </c>
      <c r="B8" s="790" t="s">
        <v>21</v>
      </c>
      <c r="C8" s="715" t="s">
        <v>42</v>
      </c>
      <c r="D8" s="715" t="s">
        <v>129</v>
      </c>
      <c r="E8" s="715" t="s">
        <v>14</v>
      </c>
      <c r="F8" s="643" t="s">
        <v>23</v>
      </c>
      <c r="G8" s="558"/>
      <c r="H8" s="558"/>
      <c r="I8" s="797"/>
      <c r="J8" s="796"/>
    </row>
    <row r="9" spans="1:10" ht="15.75">
      <c r="A9" s="795">
        <v>45475</v>
      </c>
      <c r="B9" s="793" t="s">
        <v>130</v>
      </c>
      <c r="C9" s="653" t="s">
        <v>42</v>
      </c>
      <c r="D9" s="653" t="s">
        <v>129</v>
      </c>
      <c r="E9" s="653" t="s">
        <v>14</v>
      </c>
      <c r="F9" s="799" t="s">
        <v>23</v>
      </c>
      <c r="G9" s="558"/>
      <c r="H9" s="558"/>
      <c r="I9" s="797"/>
      <c r="J9" s="796"/>
    </row>
    <row r="10" spans="1:10" ht="15.75">
      <c r="A10" s="795">
        <v>45476</v>
      </c>
      <c r="B10" s="793" t="s">
        <v>179</v>
      </c>
      <c r="C10" s="653" t="s">
        <v>42</v>
      </c>
      <c r="D10" s="653" t="s">
        <v>129</v>
      </c>
      <c r="E10" s="653" t="s">
        <v>14</v>
      </c>
      <c r="F10" s="799" t="s">
        <v>23</v>
      </c>
      <c r="G10" s="558"/>
      <c r="H10" s="558"/>
      <c r="I10" s="797"/>
      <c r="J10" s="796"/>
    </row>
    <row r="11" spans="1:10" ht="15.75">
      <c r="A11" s="795">
        <v>45477</v>
      </c>
      <c r="B11" s="800" t="s">
        <v>180</v>
      </c>
      <c r="C11" s="653" t="s">
        <v>42</v>
      </c>
      <c r="D11" s="653" t="s">
        <v>129</v>
      </c>
      <c r="E11" s="653" t="s">
        <v>14</v>
      </c>
      <c r="F11" s="799" t="s">
        <v>23</v>
      </c>
      <c r="G11" s="558"/>
      <c r="H11" s="558"/>
      <c r="I11" s="797"/>
      <c r="J11" s="796"/>
    </row>
    <row r="12" spans="1:10" ht="15.75">
      <c r="A12" s="795">
        <v>45478</v>
      </c>
      <c r="B12" s="791" t="s">
        <v>130</v>
      </c>
      <c r="C12" s="649" t="s">
        <v>21</v>
      </c>
      <c r="D12" s="649" t="s">
        <v>181</v>
      </c>
      <c r="E12" s="649" t="s">
        <v>137</v>
      </c>
      <c r="F12" s="801" t="s">
        <v>182</v>
      </c>
      <c r="G12" s="558"/>
      <c r="H12" s="558"/>
      <c r="I12" s="797"/>
      <c r="J12" s="796"/>
    </row>
    <row r="13" spans="1:10" ht="15.75">
      <c r="A13" s="795">
        <v>45479</v>
      </c>
      <c r="B13" s="793" t="s">
        <v>146</v>
      </c>
      <c r="C13" s="652" t="s">
        <v>42</v>
      </c>
      <c r="D13" s="652" t="s">
        <v>129</v>
      </c>
      <c r="E13" s="652" t="s">
        <v>109</v>
      </c>
      <c r="F13" s="799" t="s">
        <v>23</v>
      </c>
      <c r="G13" s="558"/>
      <c r="H13" s="558"/>
      <c r="I13" s="797"/>
      <c r="J13" s="796"/>
    </row>
    <row r="14" spans="1:10" ht="15.75">
      <c r="A14" s="795">
        <v>45480</v>
      </c>
      <c r="B14" s="800" t="s">
        <v>21</v>
      </c>
      <c r="C14" s="652" t="s">
        <v>42</v>
      </c>
      <c r="D14" s="652" t="s">
        <v>129</v>
      </c>
      <c r="E14" s="652" t="s">
        <v>14</v>
      </c>
      <c r="F14" s="799" t="s">
        <v>23</v>
      </c>
      <c r="G14" s="558"/>
      <c r="H14" s="558"/>
      <c r="I14" s="797"/>
      <c r="J14" s="796"/>
    </row>
    <row r="15" spans="1:10" ht="15.75">
      <c r="A15" s="795">
        <v>45481</v>
      </c>
      <c r="B15" s="793" t="s">
        <v>134</v>
      </c>
      <c r="C15" s="652" t="s">
        <v>42</v>
      </c>
      <c r="D15" s="652" t="s">
        <v>129</v>
      </c>
      <c r="E15" s="652" t="s">
        <v>14</v>
      </c>
      <c r="F15" s="799" t="s">
        <v>23</v>
      </c>
      <c r="G15" s="558"/>
      <c r="H15" s="558"/>
      <c r="I15" s="797"/>
      <c r="J15" s="796"/>
    </row>
    <row r="16" spans="1:10" ht="15.75">
      <c r="A16" s="795">
        <v>45482</v>
      </c>
      <c r="B16" s="793" t="s">
        <v>179</v>
      </c>
      <c r="C16" s="652" t="s">
        <v>42</v>
      </c>
      <c r="D16" s="652" t="s">
        <v>129</v>
      </c>
      <c r="E16" s="652" t="s">
        <v>14</v>
      </c>
      <c r="F16" s="799" t="s">
        <v>23</v>
      </c>
      <c r="G16" s="558"/>
      <c r="H16" s="558"/>
      <c r="I16" s="797"/>
      <c r="J16" s="796"/>
    </row>
    <row r="17" spans="1:10" ht="15.75">
      <c r="A17" s="795">
        <v>45483</v>
      </c>
      <c r="B17" s="800" t="s">
        <v>180</v>
      </c>
      <c r="C17" s="652" t="s">
        <v>42</v>
      </c>
      <c r="D17" s="652" t="s">
        <v>129</v>
      </c>
      <c r="E17" s="652" t="s">
        <v>14</v>
      </c>
      <c r="F17" s="799" t="s">
        <v>23</v>
      </c>
      <c r="G17" s="558"/>
      <c r="H17" s="558"/>
      <c r="I17" s="797"/>
      <c r="J17" s="796"/>
    </row>
    <row r="18" spans="1:10" ht="15.75">
      <c r="A18" s="795">
        <v>45484</v>
      </c>
      <c r="B18" s="793" t="s">
        <v>134</v>
      </c>
      <c r="C18" s="652" t="s">
        <v>42</v>
      </c>
      <c r="D18" s="652" t="s">
        <v>183</v>
      </c>
      <c r="E18" s="652" t="s">
        <v>14</v>
      </c>
      <c r="F18" s="799" t="s">
        <v>23</v>
      </c>
      <c r="G18" s="558"/>
      <c r="H18" s="558"/>
      <c r="I18" s="797"/>
      <c r="J18" s="796"/>
    </row>
    <row r="19" spans="1:10" ht="15.75">
      <c r="A19" s="795">
        <v>45485</v>
      </c>
      <c r="B19" s="791" t="s">
        <v>184</v>
      </c>
      <c r="C19" s="649" t="s">
        <v>181</v>
      </c>
      <c r="D19" s="649" t="s">
        <v>14</v>
      </c>
      <c r="E19" s="649" t="s">
        <v>137</v>
      </c>
      <c r="F19" s="801" t="s">
        <v>110</v>
      </c>
      <c r="G19" s="558"/>
      <c r="H19" s="558"/>
      <c r="I19" s="797"/>
      <c r="J19" s="796"/>
    </row>
    <row r="20" spans="1:10" ht="15.75">
      <c r="A20" s="795">
        <v>45486</v>
      </c>
      <c r="B20" s="800" t="s">
        <v>21</v>
      </c>
      <c r="C20" s="652" t="s">
        <v>42</v>
      </c>
      <c r="D20" s="652" t="s">
        <v>129</v>
      </c>
      <c r="E20" s="652" t="s">
        <v>109</v>
      </c>
      <c r="F20" s="799" t="s">
        <v>23</v>
      </c>
      <c r="G20" s="558"/>
      <c r="H20" s="558"/>
      <c r="I20" s="797"/>
      <c r="J20" s="796"/>
    </row>
    <row r="21" spans="1:10" ht="15.75">
      <c r="A21" s="795">
        <v>45487</v>
      </c>
      <c r="B21" s="793" t="s">
        <v>130</v>
      </c>
      <c r="C21" s="652" t="s">
        <v>42</v>
      </c>
      <c r="D21" s="652" t="s">
        <v>129</v>
      </c>
      <c r="E21" s="652" t="s">
        <v>14</v>
      </c>
      <c r="F21" s="799" t="s">
        <v>23</v>
      </c>
      <c r="G21" s="558"/>
      <c r="H21" s="558"/>
      <c r="I21" s="797"/>
      <c r="J21" s="796"/>
    </row>
    <row r="22" spans="1:10" ht="15.75">
      <c r="A22" s="795">
        <v>45488</v>
      </c>
      <c r="B22" s="793" t="s">
        <v>179</v>
      </c>
      <c r="C22" s="652" t="s">
        <v>42</v>
      </c>
      <c r="D22" s="652" t="s">
        <v>129</v>
      </c>
      <c r="E22" s="652" t="s">
        <v>14</v>
      </c>
      <c r="F22" s="799" t="s">
        <v>23</v>
      </c>
      <c r="G22" s="558"/>
      <c r="H22" s="558"/>
      <c r="I22" s="797"/>
      <c r="J22" s="796"/>
    </row>
    <row r="23" spans="1:10" ht="15.75">
      <c r="A23" s="795">
        <v>45489</v>
      </c>
      <c r="B23" s="800" t="s">
        <v>180</v>
      </c>
      <c r="C23" s="652" t="s">
        <v>42</v>
      </c>
      <c r="D23" s="652" t="s">
        <v>129</v>
      </c>
      <c r="E23" s="652" t="s">
        <v>14</v>
      </c>
      <c r="F23" s="799" t="s">
        <v>23</v>
      </c>
      <c r="G23" s="558"/>
      <c r="H23" s="558"/>
      <c r="I23" s="797"/>
      <c r="J23" s="796"/>
    </row>
    <row r="24" spans="1:10" ht="15.75">
      <c r="A24" s="795">
        <v>45490</v>
      </c>
      <c r="B24" s="793" t="s">
        <v>134</v>
      </c>
      <c r="C24" s="652" t="s">
        <v>42</v>
      </c>
      <c r="D24" s="652" t="s">
        <v>129</v>
      </c>
      <c r="E24" s="652" t="s">
        <v>14</v>
      </c>
      <c r="F24" s="799" t="s">
        <v>23</v>
      </c>
      <c r="G24" s="558"/>
      <c r="H24" s="558"/>
      <c r="I24" s="797"/>
      <c r="J24" s="796"/>
    </row>
    <row r="25" spans="1:10" ht="15.75">
      <c r="A25" s="795">
        <v>45491</v>
      </c>
      <c r="B25" s="793" t="s">
        <v>179</v>
      </c>
      <c r="C25" s="652" t="s">
        <v>42</v>
      </c>
      <c r="D25" s="652" t="s">
        <v>129</v>
      </c>
      <c r="E25" s="652" t="s">
        <v>14</v>
      </c>
      <c r="F25" s="799" t="s">
        <v>23</v>
      </c>
      <c r="G25" s="558"/>
      <c r="H25" s="558"/>
      <c r="I25" s="797"/>
      <c r="J25" s="796"/>
    </row>
    <row r="26" spans="1:10" ht="15.75">
      <c r="A26" s="795">
        <v>45492</v>
      </c>
      <c r="B26" s="802" t="s">
        <v>21</v>
      </c>
      <c r="C26" s="649" t="s">
        <v>23</v>
      </c>
      <c r="D26" s="649" t="s">
        <v>110</v>
      </c>
      <c r="E26" s="649" t="s">
        <v>109</v>
      </c>
      <c r="F26" s="801"/>
      <c r="G26" s="558"/>
      <c r="H26" s="558"/>
      <c r="I26" s="797"/>
      <c r="J26" s="796"/>
    </row>
    <row r="27" spans="1:10" ht="15.75">
      <c r="A27" s="795">
        <v>45493</v>
      </c>
      <c r="B27" s="793" t="s">
        <v>130</v>
      </c>
      <c r="C27" s="652" t="s">
        <v>42</v>
      </c>
      <c r="D27" s="652" t="s">
        <v>129</v>
      </c>
      <c r="E27" s="652" t="s">
        <v>137</v>
      </c>
      <c r="F27" s="799" t="s">
        <v>23</v>
      </c>
      <c r="G27" s="558"/>
      <c r="H27" s="558"/>
      <c r="I27" s="797"/>
      <c r="J27" s="796"/>
    </row>
    <row r="28" spans="1:10" ht="15.75">
      <c r="A28" s="795">
        <v>45494</v>
      </c>
      <c r="B28" s="793" t="s">
        <v>146</v>
      </c>
      <c r="C28" s="652" t="s">
        <v>42</v>
      </c>
      <c r="D28" s="652" t="s">
        <v>129</v>
      </c>
      <c r="E28" s="652" t="s">
        <v>14</v>
      </c>
      <c r="F28" s="799" t="s">
        <v>23</v>
      </c>
      <c r="G28" s="558"/>
      <c r="H28" s="558"/>
      <c r="I28" s="797"/>
      <c r="J28" s="796"/>
    </row>
    <row r="29" spans="1:10" ht="15.75">
      <c r="A29" s="795">
        <v>45495</v>
      </c>
      <c r="B29" s="800" t="s">
        <v>180</v>
      </c>
      <c r="C29" s="652" t="s">
        <v>42</v>
      </c>
      <c r="D29" s="652" t="s">
        <v>129</v>
      </c>
      <c r="E29" s="652" t="s">
        <v>14</v>
      </c>
      <c r="F29" s="799" t="s">
        <v>23</v>
      </c>
      <c r="G29" s="558"/>
      <c r="H29" s="558"/>
      <c r="I29" s="797"/>
      <c r="J29" s="796"/>
    </row>
    <row r="30" spans="1:10" ht="15.75">
      <c r="A30" s="795">
        <v>45496</v>
      </c>
      <c r="B30" s="793" t="s">
        <v>134</v>
      </c>
      <c r="C30" s="652" t="s">
        <v>42</v>
      </c>
      <c r="D30" s="652" t="s">
        <v>129</v>
      </c>
      <c r="E30" s="652" t="s">
        <v>14</v>
      </c>
      <c r="F30" s="799" t="s">
        <v>23</v>
      </c>
      <c r="G30" s="558"/>
      <c r="H30" s="558"/>
      <c r="I30" s="797"/>
      <c r="J30" s="796"/>
    </row>
    <row r="31" spans="1:10" ht="15.75">
      <c r="A31" s="795">
        <v>45497</v>
      </c>
      <c r="B31" s="793" t="s">
        <v>179</v>
      </c>
      <c r="C31" s="652" t="s">
        <v>42</v>
      </c>
      <c r="D31" s="652" t="s">
        <v>129</v>
      </c>
      <c r="E31" s="652" t="s">
        <v>14</v>
      </c>
      <c r="F31" s="799" t="s">
        <v>23</v>
      </c>
      <c r="G31" s="558"/>
      <c r="H31" s="558"/>
      <c r="I31" s="797"/>
      <c r="J31" s="796"/>
    </row>
    <row r="32" spans="1:10" ht="15.75">
      <c r="A32" s="795">
        <v>45498</v>
      </c>
      <c r="B32" s="800" t="s">
        <v>180</v>
      </c>
      <c r="C32" s="652" t="s">
        <v>42</v>
      </c>
      <c r="D32" s="652" t="s">
        <v>129</v>
      </c>
      <c r="E32" s="652" t="s">
        <v>14</v>
      </c>
      <c r="F32" s="799" t="s">
        <v>23</v>
      </c>
      <c r="G32" s="558"/>
      <c r="H32" s="558"/>
      <c r="I32" s="797"/>
      <c r="J32" s="796"/>
    </row>
    <row r="33" spans="1:10" ht="15.75">
      <c r="A33" s="795">
        <v>45499</v>
      </c>
      <c r="B33" s="791" t="s">
        <v>130</v>
      </c>
      <c r="C33" s="649" t="s">
        <v>181</v>
      </c>
      <c r="D33" s="649" t="s">
        <v>110</v>
      </c>
      <c r="E33" s="649" t="s">
        <v>137</v>
      </c>
      <c r="F33" s="801"/>
      <c r="G33" s="558"/>
      <c r="H33" s="558"/>
      <c r="I33" s="797"/>
      <c r="J33" s="796"/>
    </row>
    <row r="34" spans="1:10" ht="15.75">
      <c r="A34" s="795">
        <v>45500</v>
      </c>
      <c r="B34" s="793" t="s">
        <v>146</v>
      </c>
      <c r="C34" s="652" t="s">
        <v>42</v>
      </c>
      <c r="D34" s="652" t="s">
        <v>129</v>
      </c>
      <c r="E34" s="652" t="s">
        <v>185</v>
      </c>
      <c r="F34" s="799" t="s">
        <v>23</v>
      </c>
      <c r="G34" s="558"/>
      <c r="H34" s="558"/>
      <c r="I34" s="797"/>
      <c r="J34" s="796"/>
    </row>
    <row r="35" spans="1:10" ht="15.75">
      <c r="A35" s="795">
        <v>45501</v>
      </c>
      <c r="B35" s="800" t="s">
        <v>21</v>
      </c>
      <c r="C35" s="652" t="s">
        <v>42</v>
      </c>
      <c r="D35" s="652" t="s">
        <v>129</v>
      </c>
      <c r="E35" s="652" t="s">
        <v>14</v>
      </c>
      <c r="F35" s="799" t="s">
        <v>23</v>
      </c>
      <c r="G35" s="558"/>
      <c r="H35" s="558"/>
      <c r="I35" s="797"/>
      <c r="J35" s="796"/>
    </row>
    <row r="36" spans="1:10" ht="15.75">
      <c r="A36" s="795">
        <v>45502</v>
      </c>
      <c r="B36" s="793" t="s">
        <v>134</v>
      </c>
      <c r="C36" s="652" t="s">
        <v>42</v>
      </c>
      <c r="D36" s="652" t="s">
        <v>129</v>
      </c>
      <c r="E36" s="652" t="s">
        <v>14</v>
      </c>
      <c r="F36" s="799" t="s">
        <v>23</v>
      </c>
      <c r="G36" s="558"/>
      <c r="H36" s="558"/>
      <c r="I36" s="797"/>
      <c r="J36" s="796"/>
    </row>
    <row r="37" spans="1:10" ht="15.75">
      <c r="A37" s="795">
        <v>45503</v>
      </c>
      <c r="B37" s="793" t="s">
        <v>179</v>
      </c>
      <c r="C37" s="652" t="s">
        <v>42</v>
      </c>
      <c r="D37" s="652" t="s">
        <v>129</v>
      </c>
      <c r="E37" s="652" t="s">
        <v>14</v>
      </c>
      <c r="F37" s="799" t="s">
        <v>23</v>
      </c>
      <c r="G37" s="558"/>
      <c r="H37" s="558"/>
      <c r="I37" s="797"/>
      <c r="J37" s="796"/>
    </row>
    <row r="38" spans="1:10" ht="15.75">
      <c r="A38" s="788">
        <v>45504</v>
      </c>
      <c r="B38" s="803" t="s">
        <v>186</v>
      </c>
      <c r="C38" s="717" t="s">
        <v>42</v>
      </c>
      <c r="D38" s="717" t="s">
        <v>129</v>
      </c>
      <c r="E38" s="717" t="s">
        <v>14</v>
      </c>
      <c r="F38" s="804" t="s">
        <v>23</v>
      </c>
      <c r="G38" s="558"/>
      <c r="H38" s="558"/>
      <c r="I38" s="797"/>
      <c r="J38" s="796"/>
    </row>
    <row r="39" spans="1:10" ht="15.75">
      <c r="A39" s="805"/>
      <c r="B39" s="806"/>
      <c r="C39" s="807"/>
      <c r="D39" s="1218"/>
      <c r="E39" s="1218"/>
      <c r="F39" s="1218"/>
      <c r="G39" s="796"/>
      <c r="H39" s="1219"/>
      <c r="I39" s="1219"/>
      <c r="J39" s="796"/>
    </row>
    <row r="40" spans="1:10">
      <c r="A40" s="507"/>
      <c r="B40" s="808"/>
      <c r="C40" s="809"/>
      <c r="D40" s="317"/>
      <c r="E40" s="317"/>
      <c r="F40" s="317"/>
    </row>
    <row r="41" spans="1:10">
      <c r="A41" s="322"/>
      <c r="B41" s="317"/>
      <c r="C41" s="330"/>
      <c r="D41" s="317"/>
      <c r="E41" s="317"/>
      <c r="F41" s="317"/>
    </row>
    <row r="42" spans="1:10">
      <c r="A42" s="322"/>
      <c r="B42" s="317"/>
      <c r="C42" s="330"/>
      <c r="D42" s="317"/>
      <c r="E42" s="317"/>
      <c r="F42" s="317"/>
    </row>
    <row r="43" spans="1:10">
      <c r="A43" s="322"/>
      <c r="B43" s="317"/>
      <c r="C43" s="330"/>
      <c r="D43" s="317"/>
      <c r="E43" s="317"/>
      <c r="F43" s="317"/>
    </row>
    <row r="44" spans="1:10">
      <c r="A44" s="322"/>
      <c r="B44" s="317"/>
      <c r="C44" s="330"/>
      <c r="D44" s="317"/>
      <c r="E44" s="317"/>
      <c r="F44" s="810"/>
    </row>
    <row r="45" spans="1:10">
      <c r="A45" s="322"/>
      <c r="B45" s="317"/>
      <c r="C45" s="330"/>
      <c r="D45" s="317"/>
      <c r="E45" s="317"/>
      <c r="F45" s="317"/>
    </row>
    <row r="46" spans="1:10">
      <c r="A46" s="502"/>
      <c r="B46" s="333"/>
      <c r="C46" s="811"/>
      <c r="D46" s="333"/>
      <c r="E46" s="333"/>
      <c r="F46" s="333"/>
    </row>
    <row r="47" spans="1:10">
      <c r="A47" s="317"/>
      <c r="B47" s="317"/>
      <c r="C47" s="317"/>
      <c r="D47" s="317"/>
      <c r="E47" s="317"/>
      <c r="F47" s="317"/>
      <c r="H47" s="1146"/>
      <c r="I47" s="1146"/>
    </row>
    <row r="48" spans="1:10">
      <c r="A48" s="317"/>
      <c r="B48" s="317"/>
      <c r="C48" s="317"/>
      <c r="D48" s="317"/>
      <c r="E48" s="317"/>
      <c r="F48" s="317"/>
    </row>
    <row r="54" spans="1:6" ht="21">
      <c r="A54" s="1102" t="s">
        <v>187</v>
      </c>
      <c r="B54" s="1102"/>
      <c r="C54" s="1102"/>
      <c r="D54" s="1102"/>
      <c r="E54" s="1102"/>
      <c r="F54" s="1102"/>
    </row>
    <row r="55" spans="1:6" ht="15.75">
      <c r="B55" s="812" t="s">
        <v>4</v>
      </c>
      <c r="C55" s="602"/>
      <c r="D55" s="602"/>
      <c r="E55" s="602"/>
      <c r="F55" s="603"/>
    </row>
    <row r="56" spans="1:6" ht="15" customHeight="1">
      <c r="B56" s="1201" t="s">
        <v>5</v>
      </c>
      <c r="C56" s="1180" t="s">
        <v>6</v>
      </c>
      <c r="D56" s="1181"/>
      <c r="E56" s="1184" t="s">
        <v>128</v>
      </c>
      <c r="F56" s="1185"/>
    </row>
    <row r="57" spans="1:6" ht="15" customHeight="1">
      <c r="B57" s="1202"/>
      <c r="C57" s="1182"/>
      <c r="D57" s="1183"/>
      <c r="E57" s="1186"/>
      <c r="F57" s="1187"/>
    </row>
    <row r="58" spans="1:6" ht="15.75">
      <c r="A58" s="767">
        <v>45474</v>
      </c>
      <c r="B58" s="18" t="s">
        <v>21</v>
      </c>
      <c r="C58" s="1214" t="s">
        <v>188</v>
      </c>
      <c r="D58" s="1215"/>
      <c r="E58" s="1216"/>
      <c r="F58" s="1151"/>
    </row>
    <row r="59" spans="1:6" ht="15.75">
      <c r="A59" s="767">
        <v>45475</v>
      </c>
      <c r="B59" s="511" t="s">
        <v>130</v>
      </c>
      <c r="C59" s="1190" t="s">
        <v>137</v>
      </c>
      <c r="D59" s="1191"/>
      <c r="E59" s="1192" t="s">
        <v>143</v>
      </c>
      <c r="F59" s="1193"/>
    </row>
    <row r="60" spans="1:6" ht="15.75">
      <c r="A60" s="767">
        <v>45476</v>
      </c>
      <c r="B60" s="511" t="s">
        <v>146</v>
      </c>
      <c r="C60" s="1190" t="s">
        <v>189</v>
      </c>
      <c r="D60" s="1191"/>
      <c r="E60" s="1213" t="s">
        <v>139</v>
      </c>
      <c r="F60" s="1189"/>
    </row>
    <row r="61" spans="1:6" ht="15.75">
      <c r="A61" s="767">
        <v>45477</v>
      </c>
      <c r="B61" s="509" t="s">
        <v>21</v>
      </c>
      <c r="C61" s="1190" t="s">
        <v>110</v>
      </c>
      <c r="D61" s="1191"/>
      <c r="E61" s="1192" t="s">
        <v>23</v>
      </c>
      <c r="F61" s="1193"/>
    </row>
    <row r="62" spans="1:6" ht="15.75">
      <c r="A62" s="767">
        <v>45478</v>
      </c>
      <c r="B62" s="511" t="s">
        <v>130</v>
      </c>
      <c r="C62" s="1190" t="s">
        <v>137</v>
      </c>
      <c r="D62" s="1191"/>
      <c r="E62" s="1164"/>
      <c r="F62" s="1189"/>
    </row>
    <row r="63" spans="1:6" ht="15.75">
      <c r="A63" s="767">
        <v>45479</v>
      </c>
      <c r="B63" s="511" t="s">
        <v>146</v>
      </c>
      <c r="C63" s="1190" t="s">
        <v>109</v>
      </c>
      <c r="D63" s="1191"/>
      <c r="E63" s="1192" t="s">
        <v>143</v>
      </c>
      <c r="F63" s="1193"/>
    </row>
    <row r="64" spans="1:6" ht="15.75">
      <c r="A64" s="767">
        <v>45480</v>
      </c>
      <c r="B64" s="509" t="s">
        <v>21</v>
      </c>
      <c r="C64" s="1190" t="s">
        <v>14</v>
      </c>
      <c r="D64" s="1191"/>
      <c r="E64" s="1192" t="s">
        <v>139</v>
      </c>
      <c r="F64" s="1193"/>
    </row>
    <row r="65" spans="1:6" ht="15.75">
      <c r="A65" s="767">
        <v>45481</v>
      </c>
      <c r="B65" s="511" t="s">
        <v>130</v>
      </c>
      <c r="C65" s="1190" t="s">
        <v>109</v>
      </c>
      <c r="D65" s="1191"/>
      <c r="E65" s="1192" t="s">
        <v>190</v>
      </c>
      <c r="F65" s="1193"/>
    </row>
    <row r="66" spans="1:6" ht="15.75">
      <c r="A66" s="767">
        <v>45482</v>
      </c>
      <c r="B66" s="511" t="s">
        <v>146</v>
      </c>
      <c r="C66" s="1190" t="s">
        <v>137</v>
      </c>
      <c r="D66" s="1191"/>
      <c r="E66" s="1192" t="s">
        <v>191</v>
      </c>
      <c r="F66" s="1193"/>
    </row>
    <row r="67" spans="1:6" ht="15.75">
      <c r="A67" s="767">
        <v>45483</v>
      </c>
      <c r="B67" s="509" t="s">
        <v>21</v>
      </c>
      <c r="C67" s="1190" t="s">
        <v>109</v>
      </c>
      <c r="D67" s="1191"/>
      <c r="E67" s="1164"/>
      <c r="F67" s="1189"/>
    </row>
    <row r="68" spans="1:6" ht="15.75">
      <c r="A68" s="767">
        <v>45484</v>
      </c>
      <c r="B68" s="511" t="s">
        <v>130</v>
      </c>
      <c r="C68" s="1190" t="s">
        <v>110</v>
      </c>
      <c r="D68" s="1191"/>
      <c r="E68" s="1192" t="s">
        <v>192</v>
      </c>
      <c r="F68" s="1193"/>
    </row>
    <row r="69" spans="1:6" ht="15.75">
      <c r="A69" s="767">
        <v>45485</v>
      </c>
      <c r="B69" s="511" t="s">
        <v>146</v>
      </c>
      <c r="C69" s="1190" t="s">
        <v>137</v>
      </c>
      <c r="D69" s="1191"/>
      <c r="E69" s="1192" t="s">
        <v>181</v>
      </c>
      <c r="F69" s="1193"/>
    </row>
    <row r="70" spans="1:6" ht="15.75">
      <c r="A70" s="767">
        <v>45486</v>
      </c>
      <c r="B70" s="509" t="s">
        <v>21</v>
      </c>
      <c r="C70" s="1190" t="s">
        <v>109</v>
      </c>
      <c r="D70" s="1191"/>
      <c r="E70" s="1192" t="s">
        <v>193</v>
      </c>
      <c r="F70" s="1193"/>
    </row>
    <row r="71" spans="1:6" ht="15.75">
      <c r="A71" s="767">
        <v>45487</v>
      </c>
      <c r="B71" s="511" t="s">
        <v>130</v>
      </c>
      <c r="C71" s="1190" t="s">
        <v>194</v>
      </c>
      <c r="D71" s="1191"/>
      <c r="E71" s="1192" t="s">
        <v>195</v>
      </c>
      <c r="F71" s="1193"/>
    </row>
    <row r="72" spans="1:6" ht="15.75">
      <c r="A72" s="767">
        <v>45488</v>
      </c>
      <c r="B72" s="511" t="s">
        <v>146</v>
      </c>
      <c r="C72" s="1190" t="s">
        <v>109</v>
      </c>
      <c r="D72" s="1191"/>
      <c r="E72" s="1192" t="s">
        <v>23</v>
      </c>
      <c r="F72" s="1193"/>
    </row>
    <row r="73" spans="1:6" ht="15.75">
      <c r="A73" s="767">
        <v>45489</v>
      </c>
      <c r="B73" s="509" t="s">
        <v>21</v>
      </c>
      <c r="C73" s="1190" t="s">
        <v>23</v>
      </c>
      <c r="D73" s="1191"/>
      <c r="E73" s="1192" t="s">
        <v>191</v>
      </c>
      <c r="F73" s="1193"/>
    </row>
    <row r="74" spans="1:6" ht="15.75">
      <c r="A74" s="767">
        <v>45490</v>
      </c>
      <c r="B74" s="511" t="s">
        <v>130</v>
      </c>
      <c r="C74" s="1190" t="s">
        <v>109</v>
      </c>
      <c r="D74" s="1191"/>
      <c r="E74" s="1192" t="s">
        <v>190</v>
      </c>
      <c r="F74" s="1193"/>
    </row>
    <row r="75" spans="1:6" ht="15.75">
      <c r="A75" s="767">
        <v>45491</v>
      </c>
      <c r="B75" s="511" t="s">
        <v>146</v>
      </c>
      <c r="C75" s="1211" t="s">
        <v>196</v>
      </c>
      <c r="D75" s="1212"/>
      <c r="E75" s="1192" t="s">
        <v>23</v>
      </c>
      <c r="F75" s="1193"/>
    </row>
    <row r="76" spans="1:6" ht="15.75">
      <c r="A76" s="767">
        <v>45492</v>
      </c>
      <c r="B76" s="509" t="s">
        <v>21</v>
      </c>
      <c r="C76" s="1190" t="s">
        <v>189</v>
      </c>
      <c r="D76" s="1191"/>
      <c r="E76" s="1192" t="s">
        <v>181</v>
      </c>
      <c r="F76" s="1193"/>
    </row>
    <row r="77" spans="1:6" ht="15.75">
      <c r="A77" s="767">
        <v>45493</v>
      </c>
      <c r="B77" s="511" t="s">
        <v>130</v>
      </c>
      <c r="C77" s="1190" t="s">
        <v>137</v>
      </c>
      <c r="D77" s="1191"/>
      <c r="E77" s="1192" t="s">
        <v>143</v>
      </c>
      <c r="F77" s="1193"/>
    </row>
    <row r="78" spans="1:6" ht="15.75">
      <c r="A78" s="767">
        <v>45494</v>
      </c>
      <c r="B78" s="511" t="s">
        <v>146</v>
      </c>
      <c r="C78" s="1190" t="s">
        <v>194</v>
      </c>
      <c r="D78" s="1191"/>
      <c r="E78" s="1192" t="s">
        <v>139</v>
      </c>
      <c r="F78" s="1193"/>
    </row>
    <row r="79" spans="1:6" ht="15.75">
      <c r="A79" s="767">
        <v>45495</v>
      </c>
      <c r="B79" s="509" t="s">
        <v>21</v>
      </c>
      <c r="C79" s="1190" t="s">
        <v>197</v>
      </c>
      <c r="D79" s="1191"/>
      <c r="E79" s="1210"/>
      <c r="F79" s="1209"/>
    </row>
    <row r="80" spans="1:6" ht="15.75">
      <c r="A80" s="767">
        <v>45496</v>
      </c>
      <c r="B80" s="511" t="s">
        <v>130</v>
      </c>
      <c r="C80" s="1190" t="s">
        <v>198</v>
      </c>
      <c r="D80" s="1191"/>
      <c r="E80" s="1192" t="s">
        <v>191</v>
      </c>
      <c r="F80" s="1193"/>
    </row>
    <row r="81" spans="1:6" ht="15.75">
      <c r="A81" s="767">
        <v>45497</v>
      </c>
      <c r="B81" s="511" t="s">
        <v>146</v>
      </c>
      <c r="C81" s="1190" t="s">
        <v>199</v>
      </c>
      <c r="D81" s="1191"/>
      <c r="E81" s="1208" t="s">
        <v>139</v>
      </c>
      <c r="F81" s="1209"/>
    </row>
    <row r="82" spans="1:6" ht="15.75">
      <c r="A82" s="767">
        <v>45498</v>
      </c>
      <c r="B82" s="509" t="s">
        <v>21</v>
      </c>
      <c r="C82" s="1190" t="s">
        <v>110</v>
      </c>
      <c r="D82" s="1191"/>
      <c r="E82" s="1192" t="s">
        <v>148</v>
      </c>
      <c r="F82" s="1193"/>
    </row>
    <row r="83" spans="1:6" ht="15.75">
      <c r="A83" s="767">
        <v>45499</v>
      </c>
      <c r="B83" s="511" t="s">
        <v>130</v>
      </c>
      <c r="C83" s="1190" t="s">
        <v>137</v>
      </c>
      <c r="D83" s="1191"/>
      <c r="E83" s="1192" t="s">
        <v>181</v>
      </c>
      <c r="F83" s="1193"/>
    </row>
    <row r="84" spans="1:6" ht="15.75">
      <c r="A84" s="767">
        <v>45500</v>
      </c>
      <c r="B84" s="511" t="s">
        <v>146</v>
      </c>
      <c r="C84" s="1190" t="s">
        <v>200</v>
      </c>
      <c r="D84" s="1191"/>
      <c r="E84" s="1192" t="s">
        <v>143</v>
      </c>
      <c r="F84" s="1193"/>
    </row>
    <row r="85" spans="1:6" ht="15.75">
      <c r="A85" s="767">
        <v>45501</v>
      </c>
      <c r="B85" s="509" t="s">
        <v>21</v>
      </c>
      <c r="C85" s="1190" t="s">
        <v>23</v>
      </c>
      <c r="D85" s="1191"/>
      <c r="E85" s="1192" t="s">
        <v>139</v>
      </c>
      <c r="F85" s="1193"/>
    </row>
    <row r="86" spans="1:6" ht="15.75">
      <c r="A86" s="767">
        <v>45502</v>
      </c>
      <c r="B86" s="511" t="s">
        <v>130</v>
      </c>
      <c r="C86" s="1190" t="s">
        <v>197</v>
      </c>
      <c r="D86" s="1191"/>
      <c r="E86" s="1192" t="s">
        <v>190</v>
      </c>
      <c r="F86" s="1193"/>
    </row>
    <row r="87" spans="1:6" ht="15.75">
      <c r="A87" s="767">
        <v>45503</v>
      </c>
      <c r="B87" s="511" t="s">
        <v>146</v>
      </c>
      <c r="C87" s="1190" t="s">
        <v>181</v>
      </c>
      <c r="D87" s="1191"/>
      <c r="E87" s="1192" t="s">
        <v>143</v>
      </c>
      <c r="F87" s="1193"/>
    </row>
    <row r="88" spans="1:6" ht="15.75">
      <c r="A88" s="767">
        <v>45504</v>
      </c>
      <c r="B88" s="814" t="s">
        <v>21</v>
      </c>
      <c r="C88" s="1194" t="s">
        <v>201</v>
      </c>
      <c r="D88" s="1195"/>
      <c r="E88" s="1196" t="s">
        <v>202</v>
      </c>
      <c r="F88" s="1197"/>
    </row>
    <row r="89" spans="1:6">
      <c r="A89" s="815"/>
      <c r="B89" s="640" t="s">
        <v>203</v>
      </c>
      <c r="C89" s="640" t="s">
        <v>204</v>
      </c>
      <c r="D89" s="1198" t="s">
        <v>205</v>
      </c>
      <c r="E89" s="1199"/>
      <c r="F89" s="64"/>
    </row>
    <row r="90" spans="1:6">
      <c r="A90" s="635" t="s">
        <v>206</v>
      </c>
      <c r="B90" s="816"/>
      <c r="C90" s="813">
        <v>5</v>
      </c>
      <c r="D90" s="1207" t="s">
        <v>207</v>
      </c>
      <c r="E90" s="1151"/>
      <c r="F90" s="817"/>
    </row>
    <row r="91" spans="1:6">
      <c r="A91" s="44" t="s">
        <v>208</v>
      </c>
      <c r="B91" s="315">
        <v>3</v>
      </c>
      <c r="C91" s="330" t="s">
        <v>209</v>
      </c>
      <c r="D91" s="1188"/>
      <c r="E91" s="1189"/>
      <c r="F91" s="639"/>
    </row>
    <row r="92" spans="1:6">
      <c r="A92" s="44" t="s">
        <v>210</v>
      </c>
      <c r="B92" s="315"/>
      <c r="C92" s="330" t="s">
        <v>211</v>
      </c>
      <c r="D92" s="1188"/>
      <c r="E92" s="1189"/>
      <c r="F92" s="639"/>
    </row>
    <row r="93" spans="1:6">
      <c r="A93" s="44" t="s">
        <v>212</v>
      </c>
      <c r="B93" s="315"/>
      <c r="C93" s="330"/>
      <c r="D93" s="1188"/>
      <c r="E93" s="1189"/>
      <c r="F93" s="639"/>
    </row>
    <row r="94" spans="1:6">
      <c r="A94" s="44" t="s">
        <v>213</v>
      </c>
      <c r="B94" s="315"/>
      <c r="C94" s="330"/>
      <c r="D94" s="1188"/>
      <c r="E94" s="1189"/>
      <c r="F94" s="639"/>
    </row>
    <row r="95" spans="1:6">
      <c r="A95" s="44" t="s">
        <v>214</v>
      </c>
      <c r="B95" s="315"/>
      <c r="C95" s="330" t="s">
        <v>215</v>
      </c>
      <c r="D95" s="1203" t="s">
        <v>216</v>
      </c>
      <c r="E95" s="1204"/>
      <c r="F95" s="639"/>
    </row>
    <row r="96" spans="1:6">
      <c r="A96" s="44" t="s">
        <v>217</v>
      </c>
      <c r="B96" s="315"/>
      <c r="C96" s="316" t="s">
        <v>218</v>
      </c>
      <c r="D96" s="1205"/>
      <c r="E96" s="1206"/>
      <c r="F96" s="639"/>
    </row>
    <row r="97" spans="1:6">
      <c r="A97" s="44" t="s">
        <v>219</v>
      </c>
      <c r="B97" s="315"/>
      <c r="C97" s="316" t="s">
        <v>220</v>
      </c>
      <c r="D97" s="1188"/>
      <c r="E97" s="1189"/>
      <c r="F97" s="639"/>
    </row>
    <row r="98" spans="1:6">
      <c r="A98" s="44" t="s">
        <v>221</v>
      </c>
      <c r="B98" s="315">
        <v>4</v>
      </c>
      <c r="C98" s="316">
        <v>6</v>
      </c>
      <c r="D98" s="1188"/>
      <c r="E98" s="1189"/>
      <c r="F98" s="639"/>
    </row>
    <row r="99" spans="1:6">
      <c r="A99" s="44" t="s">
        <v>222</v>
      </c>
      <c r="B99" s="315">
        <v>3</v>
      </c>
      <c r="C99" s="316">
        <v>8</v>
      </c>
      <c r="D99" s="1188"/>
      <c r="E99" s="1189"/>
      <c r="F99" s="639"/>
    </row>
    <row r="100" spans="1:6">
      <c r="A100" s="44" t="s">
        <v>201</v>
      </c>
      <c r="B100" s="315">
        <v>1</v>
      </c>
      <c r="C100" s="330" t="s">
        <v>223</v>
      </c>
      <c r="D100" s="1188"/>
      <c r="E100" s="1189"/>
      <c r="F100" s="639"/>
    </row>
    <row r="101" spans="1:6">
      <c r="A101" s="699" t="s">
        <v>224</v>
      </c>
      <c r="B101" s="331">
        <v>3</v>
      </c>
      <c r="C101" s="811" t="s">
        <v>225</v>
      </c>
      <c r="D101" s="1188"/>
      <c r="E101" s="1189"/>
      <c r="F101" s="639"/>
    </row>
    <row r="102" spans="1:6">
      <c r="A102" s="699" t="s">
        <v>226</v>
      </c>
      <c r="B102" s="331">
        <v>1</v>
      </c>
      <c r="C102" s="332">
        <v>2</v>
      </c>
      <c r="D102" s="1188"/>
      <c r="E102" s="1189"/>
      <c r="F102" s="639"/>
    </row>
    <row r="103" spans="1:6">
      <c r="A103" s="68" t="s">
        <v>227</v>
      </c>
      <c r="B103" s="424"/>
      <c r="C103" s="818">
        <v>1</v>
      </c>
      <c r="D103" s="1200"/>
      <c r="E103" s="1197"/>
      <c r="F103" s="819"/>
    </row>
  </sheetData>
  <mergeCells count="94">
    <mergeCell ref="B5:F5"/>
    <mergeCell ref="G5:I5"/>
    <mergeCell ref="C6:F6"/>
    <mergeCell ref="D39:F39"/>
    <mergeCell ref="H39:I39"/>
    <mergeCell ref="G6:G7"/>
    <mergeCell ref="H6:H7"/>
    <mergeCell ref="I6:I7"/>
    <mergeCell ref="H47:I47"/>
    <mergeCell ref="A54:F54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D102:E102"/>
    <mergeCell ref="D103:E103"/>
    <mergeCell ref="A1:A4"/>
    <mergeCell ref="A5:A7"/>
    <mergeCell ref="B56:B57"/>
    <mergeCell ref="B1:F4"/>
    <mergeCell ref="D95:E95"/>
    <mergeCell ref="D96:E96"/>
    <mergeCell ref="D97:E97"/>
    <mergeCell ref="D98:E98"/>
    <mergeCell ref="D99:E99"/>
    <mergeCell ref="D90:E90"/>
    <mergeCell ref="D91:E91"/>
    <mergeCell ref="D92:E92"/>
    <mergeCell ref="D93:E93"/>
    <mergeCell ref="D94:E94"/>
    <mergeCell ref="G1:I4"/>
    <mergeCell ref="C56:D57"/>
    <mergeCell ref="E56:F57"/>
    <mergeCell ref="D100:E100"/>
    <mergeCell ref="D101:E101"/>
    <mergeCell ref="C87:D87"/>
    <mergeCell ref="E87:F87"/>
    <mergeCell ref="C88:D88"/>
    <mergeCell ref="E88:F88"/>
    <mergeCell ref="D89:E89"/>
    <mergeCell ref="C84:D84"/>
    <mergeCell ref="E84:F84"/>
    <mergeCell ref="C85:D85"/>
    <mergeCell ref="E85:F85"/>
    <mergeCell ref="C86:D86"/>
    <mergeCell ref="E86:F86"/>
  </mergeCells>
  <pageMargins left="0" right="0" top="0" bottom="0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8"/>
  <sheetViews>
    <sheetView topLeftCell="A4" workbookViewId="0">
      <selection activeCell="C85" sqref="C85"/>
    </sheetView>
  </sheetViews>
  <sheetFormatPr baseColWidth="10" defaultColWidth="11" defaultRowHeight="15"/>
  <cols>
    <col min="1" max="1" width="25.42578125" customWidth="1"/>
    <col min="2" max="2" width="12.7109375" customWidth="1"/>
    <col min="5" max="5" width="10.140625" customWidth="1"/>
  </cols>
  <sheetData>
    <row r="1" spans="1:6">
      <c r="A1" s="1083"/>
      <c r="B1" s="1090" t="s">
        <v>228</v>
      </c>
      <c r="C1" s="1094"/>
      <c r="D1" s="1094"/>
      <c r="E1" s="1094"/>
      <c r="F1" s="1094"/>
    </row>
    <row r="2" spans="1:6">
      <c r="A2" s="1083"/>
      <c r="B2" s="1094"/>
      <c r="C2" s="1094"/>
      <c r="D2" s="1094"/>
      <c r="E2" s="1094"/>
      <c r="F2" s="1094"/>
    </row>
    <row r="3" spans="1:6">
      <c r="A3" s="1083"/>
      <c r="B3" s="1094"/>
      <c r="C3" s="1094"/>
      <c r="D3" s="1094"/>
      <c r="E3" s="1094"/>
      <c r="F3" s="1094"/>
    </row>
    <row r="4" spans="1:6">
      <c r="A4" s="1083"/>
      <c r="B4" s="1094"/>
      <c r="C4" s="1094"/>
      <c r="D4" s="1094"/>
      <c r="E4" s="1094"/>
      <c r="F4" s="1094"/>
    </row>
    <row r="5" spans="1:6" ht="15.75">
      <c r="A5" s="431"/>
      <c r="B5" s="431"/>
      <c r="C5" s="1126">
        <v>2024</v>
      </c>
      <c r="D5" s="1126"/>
      <c r="E5" s="2"/>
      <c r="F5" s="432"/>
    </row>
    <row r="6" spans="1:6" ht="15.75">
      <c r="A6" s="1134" t="s">
        <v>2</v>
      </c>
      <c r="B6" s="1138" t="s">
        <v>40</v>
      </c>
      <c r="C6" s="1139"/>
      <c r="D6" s="1139"/>
      <c r="E6" s="1139"/>
      <c r="F6" s="1141"/>
    </row>
    <row r="7" spans="1:6" ht="15.75">
      <c r="A7" s="1135"/>
      <c r="B7" s="737" t="s">
        <v>5</v>
      </c>
      <c r="C7" s="1142" t="s">
        <v>6</v>
      </c>
      <c r="D7" s="1143"/>
      <c r="E7" s="1143"/>
      <c r="F7" s="1242"/>
    </row>
    <row r="8" spans="1:6" ht="15.75">
      <c r="A8" s="1157"/>
      <c r="B8" s="764" t="s">
        <v>178</v>
      </c>
      <c r="C8" s="765" t="s">
        <v>8</v>
      </c>
      <c r="D8" s="765" t="s">
        <v>9</v>
      </c>
      <c r="E8" s="765" t="s">
        <v>10</v>
      </c>
      <c r="F8" s="766" t="s">
        <v>7</v>
      </c>
    </row>
    <row r="9" spans="1:6" ht="15.75">
      <c r="A9" s="767">
        <v>45505</v>
      </c>
      <c r="B9" s="790" t="s">
        <v>130</v>
      </c>
      <c r="C9" s="715" t="s">
        <v>42</v>
      </c>
      <c r="D9" s="715" t="s">
        <v>129</v>
      </c>
      <c r="E9" s="715" t="s">
        <v>185</v>
      </c>
      <c r="F9" s="768" t="s">
        <v>23</v>
      </c>
    </row>
    <row r="10" spans="1:6" ht="15.75">
      <c r="A10" s="767">
        <v>45506</v>
      </c>
      <c r="B10" s="791" t="s">
        <v>146</v>
      </c>
      <c r="C10" s="792" t="s">
        <v>148</v>
      </c>
      <c r="D10" s="792" t="s">
        <v>185</v>
      </c>
      <c r="E10" s="792" t="s">
        <v>137</v>
      </c>
      <c r="F10" s="773" t="s">
        <v>229</v>
      </c>
    </row>
    <row r="11" spans="1:6" ht="15.75">
      <c r="A11" s="767">
        <v>45507</v>
      </c>
      <c r="B11" s="793" t="s">
        <v>21</v>
      </c>
      <c r="C11" s="653" t="s">
        <v>42</v>
      </c>
      <c r="D11" s="653" t="s">
        <v>129</v>
      </c>
      <c r="E11" s="653" t="s">
        <v>109</v>
      </c>
      <c r="F11" s="774" t="s">
        <v>23</v>
      </c>
    </row>
    <row r="12" spans="1:6" ht="15.75">
      <c r="A12" s="767">
        <v>45508</v>
      </c>
      <c r="B12" s="790" t="s">
        <v>134</v>
      </c>
      <c r="C12" s="653" t="s">
        <v>42</v>
      </c>
      <c r="D12" s="653" t="s">
        <v>129</v>
      </c>
      <c r="E12" s="653" t="s">
        <v>21</v>
      </c>
      <c r="F12" s="774" t="s">
        <v>23</v>
      </c>
    </row>
    <row r="13" spans="1:6" ht="15.75">
      <c r="A13" s="767">
        <v>45509</v>
      </c>
      <c r="B13" s="793" t="s">
        <v>179</v>
      </c>
      <c r="C13" s="653" t="s">
        <v>42</v>
      </c>
      <c r="D13" s="653" t="s">
        <v>129</v>
      </c>
      <c r="E13" s="652" t="s">
        <v>181</v>
      </c>
      <c r="F13" s="774"/>
    </row>
    <row r="14" spans="1:6" ht="15.75">
      <c r="A14" s="767">
        <v>45510</v>
      </c>
      <c r="B14" s="793" t="s">
        <v>180</v>
      </c>
      <c r="C14" s="652" t="s">
        <v>42</v>
      </c>
      <c r="D14" s="652" t="s">
        <v>129</v>
      </c>
      <c r="E14" s="652" t="s">
        <v>21</v>
      </c>
      <c r="F14" s="774" t="s">
        <v>23</v>
      </c>
    </row>
    <row r="15" spans="1:6" ht="15.75">
      <c r="A15" s="767">
        <v>45511</v>
      </c>
      <c r="B15" s="790" t="s">
        <v>134</v>
      </c>
      <c r="C15" s="652" t="s">
        <v>42</v>
      </c>
      <c r="D15" s="652" t="s">
        <v>129</v>
      </c>
      <c r="E15" s="652" t="s">
        <v>21</v>
      </c>
      <c r="F15" s="774" t="s">
        <v>23</v>
      </c>
    </row>
    <row r="16" spans="1:6" ht="15.75">
      <c r="A16" s="767">
        <v>45512</v>
      </c>
      <c r="B16" s="793" t="s">
        <v>179</v>
      </c>
      <c r="C16" s="652" t="s">
        <v>42</v>
      </c>
      <c r="D16" s="652" t="s">
        <v>129</v>
      </c>
      <c r="E16" s="652"/>
      <c r="F16" s="774" t="s">
        <v>23</v>
      </c>
    </row>
    <row r="17" spans="1:6" ht="15.75">
      <c r="A17" s="767">
        <v>45513</v>
      </c>
      <c r="B17" s="791" t="s">
        <v>21</v>
      </c>
      <c r="C17" s="649" t="s">
        <v>181</v>
      </c>
      <c r="D17" s="649" t="s">
        <v>230</v>
      </c>
      <c r="E17" s="649" t="s">
        <v>137</v>
      </c>
      <c r="F17" s="773"/>
    </row>
    <row r="18" spans="1:6" ht="15.75">
      <c r="A18" s="767">
        <v>45514</v>
      </c>
      <c r="B18" s="790" t="s">
        <v>130</v>
      </c>
      <c r="C18" s="652" t="s">
        <v>42</v>
      </c>
      <c r="D18" s="652" t="s">
        <v>129</v>
      </c>
      <c r="E18" s="652" t="s">
        <v>21</v>
      </c>
      <c r="F18" s="774" t="s">
        <v>23</v>
      </c>
    </row>
    <row r="19" spans="1:6" ht="15.75">
      <c r="A19" s="767">
        <v>45515</v>
      </c>
      <c r="B19" s="793" t="s">
        <v>179</v>
      </c>
      <c r="C19" s="652" t="s">
        <v>42</v>
      </c>
      <c r="D19" s="652" t="s">
        <v>129</v>
      </c>
      <c r="E19" s="652" t="s">
        <v>21</v>
      </c>
      <c r="F19" s="774" t="s">
        <v>23</v>
      </c>
    </row>
    <row r="20" spans="1:6" ht="15.75">
      <c r="A20" s="767">
        <v>45516</v>
      </c>
      <c r="B20" s="793" t="s">
        <v>180</v>
      </c>
      <c r="C20" s="652" t="s">
        <v>42</v>
      </c>
      <c r="D20" s="652" t="s">
        <v>129</v>
      </c>
      <c r="E20" s="652" t="s">
        <v>14</v>
      </c>
      <c r="F20" s="774" t="s">
        <v>183</v>
      </c>
    </row>
    <row r="21" spans="1:6" ht="15.75">
      <c r="A21" s="767">
        <v>45517</v>
      </c>
      <c r="B21" s="790" t="s">
        <v>134</v>
      </c>
      <c r="C21" s="652" t="s">
        <v>42</v>
      </c>
      <c r="D21" s="652" t="s">
        <v>129</v>
      </c>
      <c r="E21" s="652" t="s">
        <v>14</v>
      </c>
      <c r="F21" s="774" t="s">
        <v>23</v>
      </c>
    </row>
    <row r="22" spans="1:6" ht="15.75">
      <c r="A22" s="767">
        <v>45518</v>
      </c>
      <c r="B22" s="793" t="s">
        <v>179</v>
      </c>
      <c r="C22" s="652" t="s">
        <v>42</v>
      </c>
      <c r="D22" s="652" t="s">
        <v>129</v>
      </c>
      <c r="E22" s="652" t="s">
        <v>14</v>
      </c>
      <c r="F22" s="774" t="s">
        <v>23</v>
      </c>
    </row>
    <row r="23" spans="1:6" ht="15.75">
      <c r="A23" s="767">
        <v>45519</v>
      </c>
      <c r="B23" s="793" t="s">
        <v>180</v>
      </c>
      <c r="C23" s="652" t="s">
        <v>42</v>
      </c>
      <c r="D23" s="652" t="s">
        <v>129</v>
      </c>
      <c r="E23" s="652" t="s">
        <v>14</v>
      </c>
      <c r="F23" s="774" t="s">
        <v>23</v>
      </c>
    </row>
    <row r="24" spans="1:6" ht="15.75">
      <c r="A24" s="767">
        <v>45520</v>
      </c>
      <c r="B24" s="794" t="s">
        <v>130</v>
      </c>
      <c r="C24" s="649" t="s">
        <v>63</v>
      </c>
      <c r="D24" s="649" t="s">
        <v>230</v>
      </c>
      <c r="E24" s="649" t="s">
        <v>137</v>
      </c>
      <c r="F24" s="773"/>
    </row>
    <row r="25" spans="1:6" ht="15.75">
      <c r="A25" s="767">
        <v>45521</v>
      </c>
      <c r="B25" s="793" t="s">
        <v>146</v>
      </c>
      <c r="C25" s="652" t="s">
        <v>42</v>
      </c>
      <c r="D25" s="652" t="s">
        <v>129</v>
      </c>
      <c r="E25" s="652" t="s">
        <v>109</v>
      </c>
      <c r="F25" s="774" t="s">
        <v>23</v>
      </c>
    </row>
    <row r="26" spans="1:6" ht="15.75">
      <c r="A26" s="767">
        <v>45522</v>
      </c>
      <c r="B26" s="793" t="s">
        <v>180</v>
      </c>
      <c r="C26" s="652" t="s">
        <v>42</v>
      </c>
      <c r="D26" s="652" t="s">
        <v>129</v>
      </c>
      <c r="E26" s="652" t="s">
        <v>14</v>
      </c>
      <c r="F26" s="774" t="s">
        <v>23</v>
      </c>
    </row>
    <row r="27" spans="1:6" ht="15.75">
      <c r="A27" s="767">
        <v>45523</v>
      </c>
      <c r="B27" s="790" t="s">
        <v>180</v>
      </c>
      <c r="C27" s="652" t="s">
        <v>42</v>
      </c>
      <c r="D27" s="652" t="s">
        <v>129</v>
      </c>
      <c r="E27" s="652" t="s">
        <v>14</v>
      </c>
      <c r="F27" s="774" t="s">
        <v>23</v>
      </c>
    </row>
    <row r="28" spans="1:6" ht="15.75">
      <c r="A28" s="767">
        <v>45524</v>
      </c>
      <c r="B28" s="793" t="s">
        <v>179</v>
      </c>
      <c r="C28" s="652" t="s">
        <v>42</v>
      </c>
      <c r="D28" s="652" t="s">
        <v>129</v>
      </c>
      <c r="E28" s="652" t="s">
        <v>14</v>
      </c>
      <c r="F28" s="774" t="s">
        <v>23</v>
      </c>
    </row>
    <row r="29" spans="1:6" ht="15.75">
      <c r="A29" s="767">
        <v>45525</v>
      </c>
      <c r="B29" s="793" t="s">
        <v>180</v>
      </c>
      <c r="C29" s="652" t="s">
        <v>42</v>
      </c>
      <c r="D29" s="652" t="s">
        <v>129</v>
      </c>
      <c r="E29" s="652" t="s">
        <v>14</v>
      </c>
      <c r="F29" s="774" t="s">
        <v>23</v>
      </c>
    </row>
    <row r="30" spans="1:6" ht="15.75">
      <c r="A30" s="767">
        <v>45526</v>
      </c>
      <c r="B30" s="790" t="s">
        <v>134</v>
      </c>
      <c r="C30" s="652" t="s">
        <v>42</v>
      </c>
      <c r="D30" s="652" t="s">
        <v>129</v>
      </c>
      <c r="E30" s="652" t="s">
        <v>14</v>
      </c>
      <c r="F30" s="774" t="s">
        <v>23</v>
      </c>
    </row>
    <row r="31" spans="1:6" ht="15.75">
      <c r="A31" s="767">
        <v>45527</v>
      </c>
      <c r="B31" s="791" t="s">
        <v>146</v>
      </c>
      <c r="C31" s="649" t="s">
        <v>181</v>
      </c>
      <c r="D31" s="649" t="s">
        <v>63</v>
      </c>
      <c r="E31" s="649" t="s">
        <v>137</v>
      </c>
      <c r="F31" s="773" t="s">
        <v>230</v>
      </c>
    </row>
    <row r="32" spans="1:6" ht="15.75">
      <c r="A32" s="767">
        <v>45528</v>
      </c>
      <c r="B32" s="793" t="s">
        <v>21</v>
      </c>
      <c r="C32" s="652" t="s">
        <v>42</v>
      </c>
      <c r="D32" s="652" t="s">
        <v>129</v>
      </c>
      <c r="E32" s="652" t="s">
        <v>109</v>
      </c>
      <c r="F32" s="774" t="s">
        <v>14</v>
      </c>
    </row>
    <row r="33" spans="1:6" ht="15.75">
      <c r="A33" s="767">
        <v>45529</v>
      </c>
      <c r="B33" s="790" t="s">
        <v>134</v>
      </c>
      <c r="C33" s="652" t="s">
        <v>42</v>
      </c>
      <c r="D33" s="652" t="s">
        <v>129</v>
      </c>
      <c r="E33" s="652" t="s">
        <v>14</v>
      </c>
      <c r="F33" s="774" t="s">
        <v>23</v>
      </c>
    </row>
    <row r="34" spans="1:6" ht="15.75">
      <c r="A34" s="767">
        <v>45530</v>
      </c>
      <c r="B34" s="793" t="s">
        <v>179</v>
      </c>
      <c r="C34" s="652" t="s">
        <v>42</v>
      </c>
      <c r="D34" s="652" t="s">
        <v>129</v>
      </c>
      <c r="E34" s="652" t="s">
        <v>14</v>
      </c>
      <c r="F34" s="774" t="s">
        <v>23</v>
      </c>
    </row>
    <row r="35" spans="1:6" ht="15.75">
      <c r="A35" s="767">
        <v>45531</v>
      </c>
      <c r="B35" s="793" t="s">
        <v>180</v>
      </c>
      <c r="C35" s="652" t="s">
        <v>42</v>
      </c>
      <c r="D35" s="652" t="s">
        <v>129</v>
      </c>
      <c r="E35" s="652" t="s">
        <v>14</v>
      </c>
      <c r="F35" s="774" t="s">
        <v>23</v>
      </c>
    </row>
    <row r="36" spans="1:6" ht="15.75">
      <c r="A36" s="767">
        <v>45532</v>
      </c>
      <c r="B36" s="790" t="s">
        <v>134</v>
      </c>
      <c r="C36" s="652" t="s">
        <v>42</v>
      </c>
      <c r="D36" s="652" t="s">
        <v>129</v>
      </c>
      <c r="E36" s="652" t="s">
        <v>14</v>
      </c>
      <c r="F36" s="774" t="s">
        <v>23</v>
      </c>
    </row>
    <row r="37" spans="1:6" ht="15.75">
      <c r="A37" s="767">
        <v>45533</v>
      </c>
      <c r="B37" s="793" t="s">
        <v>179</v>
      </c>
      <c r="C37" s="652" t="s">
        <v>42</v>
      </c>
      <c r="D37" s="652" t="s">
        <v>129</v>
      </c>
      <c r="E37" s="652" t="s">
        <v>14</v>
      </c>
      <c r="F37" s="774" t="s">
        <v>23</v>
      </c>
    </row>
    <row r="38" spans="1:6" ht="15.75">
      <c r="A38" s="767">
        <v>45534</v>
      </c>
      <c r="B38" s="791" t="s">
        <v>21</v>
      </c>
      <c r="C38" s="649" t="s">
        <v>181</v>
      </c>
      <c r="D38" s="649" t="s">
        <v>231</v>
      </c>
      <c r="E38" s="649" t="s">
        <v>137</v>
      </c>
      <c r="F38" s="773" t="s">
        <v>230</v>
      </c>
    </row>
    <row r="39" spans="1:6" ht="15.75">
      <c r="A39" s="749">
        <v>45535</v>
      </c>
      <c r="B39" s="786" t="s">
        <v>130</v>
      </c>
      <c r="C39" s="717" t="s">
        <v>42</v>
      </c>
      <c r="D39" s="717" t="s">
        <v>129</v>
      </c>
      <c r="E39" s="717" t="s">
        <v>109</v>
      </c>
      <c r="F39" s="787" t="s">
        <v>23</v>
      </c>
    </row>
    <row r="40" spans="1:6" ht="15.75" customHeight="1">
      <c r="A40" s="1243"/>
      <c r="B40" s="1218"/>
      <c r="C40" s="1218"/>
      <c r="D40" s="1218"/>
      <c r="E40" s="1218"/>
      <c r="F40" s="1218"/>
    </row>
    <row r="42" spans="1:6">
      <c r="A42" s="1147" t="s">
        <v>232</v>
      </c>
      <c r="B42" s="1147"/>
      <c r="C42" s="1147"/>
      <c r="D42" s="1147"/>
      <c r="E42" s="1147"/>
      <c r="F42" s="1147"/>
    </row>
    <row r="43" spans="1:6">
      <c r="A43" s="1147" t="s">
        <v>233</v>
      </c>
      <c r="B43" s="1147"/>
      <c r="C43" s="1147"/>
      <c r="D43" s="1147"/>
      <c r="E43" s="1147"/>
      <c r="F43" s="1147"/>
    </row>
    <row r="45" spans="1:6">
      <c r="F45" s="195"/>
    </row>
    <row r="48" spans="1:6" ht="21">
      <c r="A48" s="1102" t="s">
        <v>234</v>
      </c>
      <c r="B48" s="1102"/>
      <c r="C48" s="1102"/>
      <c r="D48" s="1102"/>
      <c r="E48" s="1102"/>
      <c r="F48" s="1102"/>
    </row>
    <row r="49" spans="1:6" ht="21">
      <c r="B49" s="1235" t="s">
        <v>4</v>
      </c>
      <c r="C49" s="1236"/>
      <c r="D49" s="1236"/>
      <c r="E49" s="1236"/>
      <c r="F49" s="1237"/>
    </row>
    <row r="50" spans="1:6" ht="15.75" customHeight="1">
      <c r="B50" s="620" t="s">
        <v>5</v>
      </c>
      <c r="C50" s="1238" t="s">
        <v>6</v>
      </c>
      <c r="D50" s="1239"/>
      <c r="E50" s="1240" t="s">
        <v>128</v>
      </c>
      <c r="F50" s="1241"/>
    </row>
    <row r="51" spans="1:6" ht="15.75" customHeight="1">
      <c r="A51" s="767">
        <v>45505</v>
      </c>
      <c r="B51" s="678" t="s">
        <v>130</v>
      </c>
      <c r="C51" s="1233" t="s">
        <v>235</v>
      </c>
      <c r="D51" s="1234"/>
      <c r="E51" s="1152"/>
      <c r="F51" s="1151"/>
    </row>
    <row r="52" spans="1:6" ht="16.5" customHeight="1">
      <c r="A52" s="795">
        <v>45506</v>
      </c>
      <c r="B52" s="670" t="s">
        <v>146</v>
      </c>
      <c r="C52" s="1226" t="s">
        <v>236</v>
      </c>
      <c r="D52" s="1227"/>
      <c r="E52" s="1228"/>
      <c r="F52" s="1193"/>
    </row>
    <row r="53" spans="1:6" ht="15.75">
      <c r="A53" s="795">
        <v>45507</v>
      </c>
      <c r="B53" s="670" t="s">
        <v>21</v>
      </c>
      <c r="C53" s="1226" t="s">
        <v>109</v>
      </c>
      <c r="D53" s="1227"/>
      <c r="E53" s="1232"/>
      <c r="F53" s="1189"/>
    </row>
    <row r="54" spans="1:6" ht="15.75">
      <c r="A54" s="795">
        <v>45508</v>
      </c>
      <c r="B54" s="678" t="s">
        <v>130</v>
      </c>
      <c r="C54" s="1226" t="s">
        <v>237</v>
      </c>
      <c r="D54" s="1227"/>
      <c r="E54" s="1228"/>
      <c r="F54" s="1193"/>
    </row>
    <row r="55" spans="1:6" ht="15.75">
      <c r="A55" s="795">
        <v>45509</v>
      </c>
      <c r="B55" s="670" t="s">
        <v>146</v>
      </c>
      <c r="C55" s="1226" t="s">
        <v>238</v>
      </c>
      <c r="D55" s="1227"/>
      <c r="E55" s="1232"/>
      <c r="F55" s="1189"/>
    </row>
    <row r="56" spans="1:6" ht="15.75">
      <c r="A56" s="795">
        <v>45510</v>
      </c>
      <c r="B56" s="670" t="s">
        <v>21</v>
      </c>
      <c r="C56" s="1226" t="s">
        <v>239</v>
      </c>
      <c r="D56" s="1227"/>
      <c r="E56" s="1228"/>
      <c r="F56" s="1193"/>
    </row>
    <row r="57" spans="1:6" ht="15" customHeight="1">
      <c r="A57" s="795">
        <v>45511</v>
      </c>
      <c r="B57" s="678" t="s">
        <v>130</v>
      </c>
      <c r="C57" s="1226" t="s">
        <v>237</v>
      </c>
      <c r="D57" s="1227"/>
      <c r="E57" s="1228"/>
      <c r="F57" s="1193"/>
    </row>
    <row r="58" spans="1:6" ht="15.75" customHeight="1">
      <c r="A58" s="795">
        <v>45512</v>
      </c>
      <c r="B58" s="670" t="s">
        <v>146</v>
      </c>
      <c r="C58" s="1226" t="s">
        <v>240</v>
      </c>
      <c r="D58" s="1227"/>
      <c r="E58" s="1228"/>
      <c r="F58" s="1193"/>
    </row>
    <row r="59" spans="1:6" ht="15.75">
      <c r="A59" s="795">
        <v>45513</v>
      </c>
      <c r="B59" s="670" t="s">
        <v>21</v>
      </c>
      <c r="C59" s="1226" t="s">
        <v>241</v>
      </c>
      <c r="D59" s="1227"/>
      <c r="E59" s="1228"/>
      <c r="F59" s="1193"/>
    </row>
    <row r="60" spans="1:6" ht="15.75">
      <c r="A60" s="795">
        <v>45514</v>
      </c>
      <c r="B60" s="678" t="s">
        <v>130</v>
      </c>
      <c r="C60" s="1226" t="s">
        <v>242</v>
      </c>
      <c r="D60" s="1227"/>
      <c r="E60" s="1232"/>
      <c r="F60" s="1189"/>
    </row>
    <row r="61" spans="1:6" ht="15.75">
      <c r="A61" s="795">
        <v>45515</v>
      </c>
      <c r="B61" s="670" t="s">
        <v>146</v>
      </c>
      <c r="C61" s="1226" t="s">
        <v>243</v>
      </c>
      <c r="D61" s="1227"/>
      <c r="E61" s="1228"/>
      <c r="F61" s="1193"/>
    </row>
    <row r="62" spans="1:6" ht="15.75">
      <c r="A62" s="795">
        <v>45516</v>
      </c>
      <c r="B62" s="670" t="s">
        <v>21</v>
      </c>
      <c r="C62" s="1226" t="s">
        <v>244</v>
      </c>
      <c r="D62" s="1227"/>
      <c r="E62" s="1228"/>
      <c r="F62" s="1193"/>
    </row>
    <row r="63" spans="1:6" ht="15.75">
      <c r="A63" s="795">
        <v>45517</v>
      </c>
      <c r="B63" s="678" t="s">
        <v>130</v>
      </c>
      <c r="C63" s="1226" t="s">
        <v>245</v>
      </c>
      <c r="D63" s="1227"/>
      <c r="E63" s="1228"/>
      <c r="F63" s="1193"/>
    </row>
    <row r="64" spans="1:6" ht="15.75">
      <c r="A64" s="795">
        <v>45518</v>
      </c>
      <c r="B64" s="670" t="s">
        <v>146</v>
      </c>
      <c r="C64" s="1226" t="s">
        <v>243</v>
      </c>
      <c r="D64" s="1227"/>
      <c r="E64" s="1228"/>
      <c r="F64" s="1193"/>
    </row>
    <row r="65" spans="1:6" ht="15.75">
      <c r="A65" s="795">
        <v>45519</v>
      </c>
      <c r="B65" s="670" t="s">
        <v>21</v>
      </c>
      <c r="C65" s="1226" t="s">
        <v>246</v>
      </c>
      <c r="D65" s="1227"/>
      <c r="E65" s="1228"/>
      <c r="F65" s="1193"/>
    </row>
    <row r="66" spans="1:6" ht="15.75">
      <c r="A66" s="795">
        <v>45520</v>
      </c>
      <c r="B66" s="678" t="s">
        <v>130</v>
      </c>
      <c r="C66" s="1226" t="s">
        <v>236</v>
      </c>
      <c r="D66" s="1227"/>
      <c r="E66" s="1228"/>
      <c r="F66" s="1193"/>
    </row>
    <row r="67" spans="1:6" ht="15.75">
      <c r="A67" s="795">
        <v>45521</v>
      </c>
      <c r="B67" s="670" t="s">
        <v>146</v>
      </c>
      <c r="C67" s="1226" t="s">
        <v>247</v>
      </c>
      <c r="D67" s="1227"/>
      <c r="E67" s="1228"/>
      <c r="F67" s="1193"/>
    </row>
    <row r="68" spans="1:6" ht="15.75">
      <c r="A68" s="795">
        <v>45522</v>
      </c>
      <c r="B68" s="670" t="s">
        <v>21</v>
      </c>
      <c r="C68" s="1230" t="s">
        <v>189</v>
      </c>
      <c r="D68" s="1231"/>
      <c r="E68" s="1228"/>
      <c r="F68" s="1193"/>
    </row>
    <row r="69" spans="1:6" ht="15.75">
      <c r="A69" s="795">
        <v>45523</v>
      </c>
      <c r="B69" s="678" t="s">
        <v>130</v>
      </c>
      <c r="C69" s="1226" t="s">
        <v>237</v>
      </c>
      <c r="D69" s="1227"/>
      <c r="E69" s="1228"/>
      <c r="F69" s="1193"/>
    </row>
    <row r="70" spans="1:6" ht="15.75">
      <c r="A70" s="795">
        <v>45524</v>
      </c>
      <c r="B70" s="670" t="s">
        <v>146</v>
      </c>
      <c r="C70" s="1226" t="s">
        <v>248</v>
      </c>
      <c r="D70" s="1227"/>
      <c r="E70" s="1228"/>
      <c r="F70" s="1193"/>
    </row>
    <row r="71" spans="1:6" ht="15.75">
      <c r="A71" s="795">
        <v>45525</v>
      </c>
      <c r="B71" s="670" t="s">
        <v>21</v>
      </c>
      <c r="C71" s="1226" t="s">
        <v>249</v>
      </c>
      <c r="D71" s="1227"/>
      <c r="E71" s="1228"/>
      <c r="F71" s="1193"/>
    </row>
    <row r="72" spans="1:6" ht="15.75">
      <c r="A72" s="795">
        <v>45526</v>
      </c>
      <c r="B72" s="678" t="s">
        <v>130</v>
      </c>
      <c r="C72" s="1226" t="s">
        <v>250</v>
      </c>
      <c r="D72" s="1227"/>
      <c r="E72" s="1229"/>
      <c r="F72" s="1209"/>
    </row>
    <row r="73" spans="1:6" ht="15.75">
      <c r="A73" s="795">
        <v>45527</v>
      </c>
      <c r="B73" s="670" t="s">
        <v>146</v>
      </c>
      <c r="C73" s="1226" t="s">
        <v>251</v>
      </c>
      <c r="D73" s="1227"/>
      <c r="E73" s="1228"/>
      <c r="F73" s="1193"/>
    </row>
    <row r="74" spans="1:6" ht="15.75">
      <c r="A74" s="795">
        <v>45528</v>
      </c>
      <c r="B74" s="670" t="s">
        <v>21</v>
      </c>
      <c r="C74" s="1226" t="s">
        <v>252</v>
      </c>
      <c r="D74" s="1227"/>
      <c r="E74" s="1229"/>
      <c r="F74" s="1209"/>
    </row>
    <row r="75" spans="1:6" ht="15.75">
      <c r="A75" s="795">
        <v>45529</v>
      </c>
      <c r="B75" s="678" t="s">
        <v>130</v>
      </c>
      <c r="C75" s="1226" t="s">
        <v>253</v>
      </c>
      <c r="D75" s="1227"/>
      <c r="E75" s="1228"/>
      <c r="F75" s="1193"/>
    </row>
    <row r="76" spans="1:6" ht="15.75">
      <c r="A76" s="795">
        <v>45530</v>
      </c>
      <c r="B76" s="670" t="s">
        <v>146</v>
      </c>
      <c r="C76" s="1226" t="s">
        <v>254</v>
      </c>
      <c r="D76" s="1227"/>
      <c r="E76" s="1228"/>
      <c r="F76" s="1193"/>
    </row>
    <row r="77" spans="1:6" ht="15.75">
      <c r="A77" s="795">
        <v>45531</v>
      </c>
      <c r="B77" s="670" t="s">
        <v>21</v>
      </c>
      <c r="C77" s="1226" t="s">
        <v>236</v>
      </c>
      <c r="D77" s="1227"/>
      <c r="E77" s="1228"/>
      <c r="F77" s="1193"/>
    </row>
    <row r="78" spans="1:6" ht="15.75">
      <c r="A78" s="795">
        <v>45532</v>
      </c>
      <c r="B78" s="678" t="s">
        <v>130</v>
      </c>
      <c r="C78" s="1226" t="s">
        <v>237</v>
      </c>
      <c r="D78" s="1227"/>
      <c r="E78" s="1228"/>
      <c r="F78" s="1193"/>
    </row>
    <row r="79" spans="1:6" ht="15.75">
      <c r="A79" s="795">
        <v>45533</v>
      </c>
      <c r="B79" s="670" t="s">
        <v>146</v>
      </c>
      <c r="C79" s="1226" t="s">
        <v>250</v>
      </c>
      <c r="D79" s="1227"/>
      <c r="E79" s="1228"/>
      <c r="F79" s="1193"/>
    </row>
    <row r="80" spans="1:6" ht="15.75">
      <c r="A80" s="795">
        <v>45534</v>
      </c>
      <c r="B80" s="670" t="s">
        <v>21</v>
      </c>
      <c r="C80" s="1226" t="s">
        <v>239</v>
      </c>
      <c r="D80" s="1227"/>
      <c r="E80" s="1228"/>
      <c r="F80" s="1193"/>
    </row>
    <row r="81" spans="1:6" ht="15.75">
      <c r="A81" s="788">
        <v>45535</v>
      </c>
      <c r="B81" s="58" t="s">
        <v>130</v>
      </c>
      <c r="C81" s="1221" t="s">
        <v>252</v>
      </c>
      <c r="D81" s="1222"/>
      <c r="E81" s="1223"/>
      <c r="F81" s="1197"/>
    </row>
    <row r="82" spans="1:6">
      <c r="A82" s="728"/>
      <c r="B82" s="776" t="s">
        <v>158</v>
      </c>
      <c r="C82" s="776" t="s">
        <v>255</v>
      </c>
      <c r="D82" s="777" t="s">
        <v>256</v>
      </c>
    </row>
    <row r="83" spans="1:6">
      <c r="A83" s="635" t="s">
        <v>257</v>
      </c>
      <c r="B83" s="731"/>
      <c r="C83" s="732" t="s">
        <v>258</v>
      </c>
      <c r="D83" s="733" t="s">
        <v>259</v>
      </c>
    </row>
    <row r="84" spans="1:6">
      <c r="A84" s="44" t="s">
        <v>260</v>
      </c>
      <c r="B84" s="734"/>
      <c r="C84" s="412" t="s">
        <v>261</v>
      </c>
      <c r="D84" s="413"/>
    </row>
    <row r="85" spans="1:6">
      <c r="A85" s="44" t="s">
        <v>262</v>
      </c>
      <c r="B85" s="734" t="s">
        <v>263</v>
      </c>
      <c r="C85" s="412" t="s">
        <v>258</v>
      </c>
      <c r="D85" s="413"/>
    </row>
    <row r="86" spans="1:6">
      <c r="A86" s="44" t="s">
        <v>264</v>
      </c>
      <c r="B86" s="734"/>
      <c r="C86" s="412" t="s">
        <v>261</v>
      </c>
      <c r="D86" s="413"/>
    </row>
    <row r="87" spans="1:6">
      <c r="A87" s="44" t="s">
        <v>265</v>
      </c>
      <c r="B87" s="1224" t="s">
        <v>266</v>
      </c>
      <c r="C87" s="1163"/>
      <c r="D87" s="413"/>
    </row>
    <row r="88" spans="1:6">
      <c r="A88" s="44" t="s">
        <v>267</v>
      </c>
      <c r="B88" s="734"/>
      <c r="C88" s="412" t="s">
        <v>268</v>
      </c>
      <c r="D88" s="413"/>
    </row>
    <row r="89" spans="1:6">
      <c r="A89" s="44" t="s">
        <v>269</v>
      </c>
      <c r="B89" s="734" t="s">
        <v>270</v>
      </c>
      <c r="C89" s="412" t="s">
        <v>268</v>
      </c>
      <c r="D89" s="413"/>
    </row>
    <row r="90" spans="1:6">
      <c r="A90" s="44" t="s">
        <v>271</v>
      </c>
      <c r="B90" s="734"/>
      <c r="C90" s="412" t="s">
        <v>268</v>
      </c>
      <c r="D90" s="413"/>
    </row>
    <row r="91" spans="1:6">
      <c r="A91" s="44" t="s">
        <v>272</v>
      </c>
      <c r="B91" s="734" t="s">
        <v>273</v>
      </c>
      <c r="C91" s="412" t="s">
        <v>274</v>
      </c>
      <c r="D91" s="413"/>
    </row>
    <row r="92" spans="1:6">
      <c r="A92" s="44" t="s">
        <v>275</v>
      </c>
      <c r="B92" s="734" t="s">
        <v>276</v>
      </c>
      <c r="C92" s="1161" t="s">
        <v>277</v>
      </c>
      <c r="D92" s="1225"/>
    </row>
    <row r="93" spans="1:6">
      <c r="A93" s="44" t="s">
        <v>278</v>
      </c>
      <c r="B93" s="734" t="s">
        <v>270</v>
      </c>
      <c r="C93" s="412" t="s">
        <v>279</v>
      </c>
      <c r="D93" s="413"/>
    </row>
    <row r="94" spans="1:6">
      <c r="A94" s="44" t="s">
        <v>280</v>
      </c>
      <c r="B94" s="734" t="s">
        <v>281</v>
      </c>
      <c r="C94" s="412" t="s">
        <v>282</v>
      </c>
      <c r="D94" s="413"/>
    </row>
    <row r="95" spans="1:6">
      <c r="A95" s="44" t="s">
        <v>283</v>
      </c>
      <c r="B95" s="734"/>
      <c r="C95" s="412" t="s">
        <v>282</v>
      </c>
      <c r="D95" s="413"/>
    </row>
    <row r="96" spans="1:6">
      <c r="A96" s="44" t="s">
        <v>284</v>
      </c>
      <c r="B96" s="734" t="s">
        <v>273</v>
      </c>
      <c r="C96" s="412"/>
      <c r="D96" s="413"/>
    </row>
    <row r="97" spans="1:4">
      <c r="A97" s="699" t="s">
        <v>285</v>
      </c>
      <c r="B97" s="735" t="s">
        <v>286</v>
      </c>
      <c r="C97" s="422" t="s">
        <v>287</v>
      </c>
      <c r="D97" s="423"/>
    </row>
    <row r="98" spans="1:4">
      <c r="A98" s="68" t="s">
        <v>288</v>
      </c>
      <c r="B98" s="736"/>
      <c r="C98" s="425" t="s">
        <v>287</v>
      </c>
      <c r="D98" s="426"/>
    </row>
  </sheetData>
  <mergeCells count="77">
    <mergeCell ref="C5:D5"/>
    <mergeCell ref="B6:F6"/>
    <mergeCell ref="C7:F7"/>
    <mergeCell ref="A40:F40"/>
    <mergeCell ref="A42:F42"/>
    <mergeCell ref="A43:F43"/>
    <mergeCell ref="A48:F48"/>
    <mergeCell ref="B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81:D81"/>
    <mergeCell ref="E81:F81"/>
    <mergeCell ref="B87:C87"/>
    <mergeCell ref="C92:D92"/>
    <mergeCell ref="A1:A4"/>
    <mergeCell ref="A6:A8"/>
    <mergeCell ref="B1:F4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</mergeCells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3"/>
  <sheetViews>
    <sheetView topLeftCell="A64" workbookViewId="0">
      <selection activeCell="C67" sqref="C67:D67"/>
    </sheetView>
  </sheetViews>
  <sheetFormatPr baseColWidth="10" defaultColWidth="11" defaultRowHeight="15"/>
  <cols>
    <col min="1" max="1" width="28.42578125" customWidth="1"/>
    <col min="2" max="2" width="12.140625" customWidth="1"/>
    <col min="3" max="4" width="12.85546875" customWidth="1"/>
    <col min="5" max="7" width="11.140625" customWidth="1"/>
  </cols>
  <sheetData>
    <row r="1" spans="1:6">
      <c r="A1" s="1083"/>
      <c r="B1" s="1090" t="s">
        <v>289</v>
      </c>
      <c r="C1" s="1094"/>
      <c r="D1" s="1094"/>
      <c r="E1" s="1094"/>
      <c r="F1" s="1094"/>
    </row>
    <row r="2" spans="1:6">
      <c r="A2" s="1083"/>
      <c r="B2" s="1094"/>
      <c r="C2" s="1094"/>
      <c r="D2" s="1094"/>
      <c r="E2" s="1094"/>
      <c r="F2" s="1094"/>
    </row>
    <row r="3" spans="1:6">
      <c r="A3" s="1083"/>
      <c r="B3" s="1094"/>
      <c r="C3" s="1094"/>
      <c r="D3" s="1094"/>
      <c r="E3" s="1094"/>
      <c r="F3" s="1094"/>
    </row>
    <row r="4" spans="1:6">
      <c r="A4" s="1083"/>
      <c r="B4" s="1094"/>
      <c r="C4" s="1094"/>
      <c r="D4" s="1094"/>
      <c r="E4" s="1094"/>
      <c r="F4" s="1094"/>
    </row>
    <row r="5" spans="1:6" ht="15.75">
      <c r="A5" s="431"/>
      <c r="B5" s="431"/>
      <c r="C5" s="1126">
        <v>2024</v>
      </c>
      <c r="D5" s="1126"/>
      <c r="E5" s="2"/>
      <c r="F5" s="432"/>
    </row>
    <row r="6" spans="1:6" ht="15.75">
      <c r="A6" s="1134" t="s">
        <v>2</v>
      </c>
      <c r="B6" s="1138" t="s">
        <v>40</v>
      </c>
      <c r="C6" s="1139"/>
      <c r="D6" s="1139"/>
      <c r="E6" s="1139"/>
      <c r="F6" s="1141"/>
    </row>
    <row r="7" spans="1:6" ht="15.75">
      <c r="A7" s="1135"/>
      <c r="B7" s="737" t="s">
        <v>5</v>
      </c>
      <c r="C7" s="1142" t="s">
        <v>6</v>
      </c>
      <c r="D7" s="1143"/>
      <c r="E7" s="1143"/>
      <c r="F7" s="1242"/>
    </row>
    <row r="8" spans="1:6" ht="15.75">
      <c r="A8" s="1157"/>
      <c r="B8" s="764" t="s">
        <v>178</v>
      </c>
      <c r="C8" s="765" t="s">
        <v>8</v>
      </c>
      <c r="D8" s="765" t="s">
        <v>9</v>
      </c>
      <c r="E8" s="765" t="s">
        <v>10</v>
      </c>
      <c r="F8" s="766" t="s">
        <v>7</v>
      </c>
    </row>
    <row r="9" spans="1:6" ht="15.75">
      <c r="A9" s="767">
        <v>45536</v>
      </c>
      <c r="B9" s="409" t="s">
        <v>17</v>
      </c>
      <c r="C9" s="361" t="s">
        <v>42</v>
      </c>
      <c r="D9" s="715" t="s">
        <v>129</v>
      </c>
      <c r="E9" s="715" t="s">
        <v>63</v>
      </c>
      <c r="F9" s="768"/>
    </row>
    <row r="10" spans="1:6" ht="15.75">
      <c r="A10" s="767">
        <v>45537</v>
      </c>
      <c r="B10" s="769" t="s">
        <v>110</v>
      </c>
      <c r="C10" s="361" t="s">
        <v>42</v>
      </c>
      <c r="D10" s="715" t="s">
        <v>129</v>
      </c>
      <c r="E10" s="715" t="s">
        <v>63</v>
      </c>
      <c r="F10" s="768"/>
    </row>
    <row r="11" spans="1:6" ht="15.75">
      <c r="A11" s="767">
        <v>45538</v>
      </c>
      <c r="B11" s="769" t="s">
        <v>146</v>
      </c>
      <c r="C11" s="361" t="s">
        <v>42</v>
      </c>
      <c r="D11" s="715" t="s">
        <v>129</v>
      </c>
      <c r="E11" s="715" t="s">
        <v>63</v>
      </c>
      <c r="F11" s="768"/>
    </row>
    <row r="12" spans="1:6" ht="15.75">
      <c r="A12" s="767">
        <v>45539</v>
      </c>
      <c r="B12" s="409" t="s">
        <v>130</v>
      </c>
      <c r="C12" s="361" t="s">
        <v>42</v>
      </c>
      <c r="D12" s="715" t="s">
        <v>129</v>
      </c>
      <c r="E12" s="715" t="s">
        <v>63</v>
      </c>
      <c r="F12" s="768" t="s">
        <v>17</v>
      </c>
    </row>
    <row r="13" spans="1:6" ht="15.75">
      <c r="A13" s="767">
        <v>45540</v>
      </c>
      <c r="B13" s="409" t="s">
        <v>17</v>
      </c>
      <c r="C13" s="361" t="s">
        <v>42</v>
      </c>
      <c r="D13" s="715" t="s">
        <v>129</v>
      </c>
      <c r="E13" s="715" t="s">
        <v>63</v>
      </c>
      <c r="F13" s="768"/>
    </row>
    <row r="14" spans="1:6" ht="15.75">
      <c r="A14" s="767">
        <v>45541</v>
      </c>
      <c r="B14" s="769" t="s">
        <v>110</v>
      </c>
      <c r="C14" s="471" t="s">
        <v>181</v>
      </c>
      <c r="D14" s="649" t="s">
        <v>63</v>
      </c>
      <c r="E14" s="649" t="s">
        <v>109</v>
      </c>
      <c r="F14" s="773" t="s">
        <v>290</v>
      </c>
    </row>
    <row r="15" spans="1:6" ht="15.75">
      <c r="A15" s="767">
        <v>45542</v>
      </c>
      <c r="B15" s="769" t="s">
        <v>146</v>
      </c>
      <c r="C15" s="362" t="s">
        <v>42</v>
      </c>
      <c r="D15" s="652" t="s">
        <v>129</v>
      </c>
      <c r="E15" s="652" t="s">
        <v>137</v>
      </c>
      <c r="F15" s="774"/>
    </row>
    <row r="16" spans="1:6" ht="15.75">
      <c r="A16" s="767">
        <v>45543</v>
      </c>
      <c r="B16" s="409" t="s">
        <v>130</v>
      </c>
      <c r="C16" s="362" t="s">
        <v>42</v>
      </c>
      <c r="D16" s="652" t="s">
        <v>129</v>
      </c>
      <c r="E16" s="652" t="s">
        <v>63</v>
      </c>
      <c r="F16" s="774"/>
    </row>
    <row r="17" spans="1:6" ht="15.75">
      <c r="A17" s="767">
        <v>45544</v>
      </c>
      <c r="B17" s="409" t="s">
        <v>17</v>
      </c>
      <c r="C17" s="362" t="s">
        <v>42</v>
      </c>
      <c r="D17" s="652" t="s">
        <v>129</v>
      </c>
      <c r="E17" s="652" t="s">
        <v>63</v>
      </c>
      <c r="F17" s="774"/>
    </row>
    <row r="18" spans="1:6" ht="15.75">
      <c r="A18" s="767">
        <v>45545</v>
      </c>
      <c r="B18" s="769" t="s">
        <v>291</v>
      </c>
      <c r="C18" s="362" t="s">
        <v>42</v>
      </c>
      <c r="D18" s="652" t="s">
        <v>129</v>
      </c>
      <c r="E18" s="652" t="s">
        <v>63</v>
      </c>
      <c r="F18" s="774" t="s">
        <v>130</v>
      </c>
    </row>
    <row r="19" spans="1:6" ht="15.75">
      <c r="A19" s="767">
        <v>45546</v>
      </c>
      <c r="B19" s="769" t="s">
        <v>146</v>
      </c>
      <c r="C19" s="362" t="s">
        <v>42</v>
      </c>
      <c r="D19" s="652" t="s">
        <v>129</v>
      </c>
      <c r="E19" s="652" t="s">
        <v>63</v>
      </c>
      <c r="F19" s="774" t="s">
        <v>17</v>
      </c>
    </row>
    <row r="20" spans="1:6" ht="15.75">
      <c r="A20" s="767">
        <v>45547</v>
      </c>
      <c r="B20" s="409" t="s">
        <v>138</v>
      </c>
      <c r="C20" s="362" t="s">
        <v>42</v>
      </c>
      <c r="D20" s="652" t="s">
        <v>129</v>
      </c>
      <c r="E20" s="652" t="s">
        <v>63</v>
      </c>
      <c r="F20" s="774" t="s">
        <v>181</v>
      </c>
    </row>
    <row r="21" spans="1:6" ht="15.75">
      <c r="A21" s="767">
        <v>45548</v>
      </c>
      <c r="B21" s="409" t="s">
        <v>17</v>
      </c>
      <c r="C21" s="471" t="s">
        <v>181</v>
      </c>
      <c r="D21" s="649" t="s">
        <v>63</v>
      </c>
      <c r="E21" s="649" t="s">
        <v>109</v>
      </c>
      <c r="F21" s="773" t="s">
        <v>290</v>
      </c>
    </row>
    <row r="22" spans="1:6" ht="15.75">
      <c r="A22" s="767">
        <v>45549</v>
      </c>
      <c r="B22" s="769" t="s">
        <v>180</v>
      </c>
      <c r="C22" s="362" t="s">
        <v>109</v>
      </c>
      <c r="D22" s="652" t="s">
        <v>129</v>
      </c>
      <c r="E22" s="652" t="s">
        <v>137</v>
      </c>
      <c r="F22" s="774" t="s">
        <v>23</v>
      </c>
    </row>
    <row r="23" spans="1:6" ht="15.75">
      <c r="A23" s="767">
        <v>45550</v>
      </c>
      <c r="B23" s="769" t="s">
        <v>179</v>
      </c>
      <c r="C23" s="362" t="s">
        <v>21</v>
      </c>
      <c r="D23" s="652" t="s">
        <v>129</v>
      </c>
      <c r="E23" s="652" t="s">
        <v>63</v>
      </c>
      <c r="F23" s="774" t="s">
        <v>23</v>
      </c>
    </row>
    <row r="24" spans="1:6" ht="15.75">
      <c r="A24" s="767">
        <v>45551</v>
      </c>
      <c r="B24" s="409" t="s">
        <v>292</v>
      </c>
      <c r="C24" s="362" t="s">
        <v>230</v>
      </c>
      <c r="D24" s="652" t="s">
        <v>129</v>
      </c>
      <c r="E24" s="652" t="s">
        <v>63</v>
      </c>
      <c r="F24" s="774" t="s">
        <v>17</v>
      </c>
    </row>
    <row r="25" spans="1:6" ht="15.75">
      <c r="A25" s="767">
        <v>45552</v>
      </c>
      <c r="B25" s="409" t="s">
        <v>293</v>
      </c>
      <c r="C25" s="362" t="s">
        <v>21</v>
      </c>
      <c r="D25" s="652" t="s">
        <v>129</v>
      </c>
      <c r="E25" s="652" t="s">
        <v>63</v>
      </c>
      <c r="F25" s="774" t="s">
        <v>23</v>
      </c>
    </row>
    <row r="26" spans="1:6" ht="15.75">
      <c r="A26" s="767">
        <v>45553</v>
      </c>
      <c r="B26" s="769" t="s">
        <v>186</v>
      </c>
      <c r="C26" s="362" t="s">
        <v>17</v>
      </c>
      <c r="D26" s="652" t="s">
        <v>129</v>
      </c>
      <c r="E26" s="652" t="s">
        <v>63</v>
      </c>
      <c r="F26" s="774" t="s">
        <v>23</v>
      </c>
    </row>
    <row r="27" spans="1:6" ht="15.75">
      <c r="A27" s="767">
        <v>45554</v>
      </c>
      <c r="B27" s="769" t="s">
        <v>294</v>
      </c>
      <c r="C27" s="362" t="s">
        <v>181</v>
      </c>
      <c r="D27" s="652" t="s">
        <v>129</v>
      </c>
      <c r="E27" s="652" t="s">
        <v>63</v>
      </c>
      <c r="F27" s="774" t="s">
        <v>23</v>
      </c>
    </row>
    <row r="28" spans="1:6" ht="15.75">
      <c r="A28" s="767">
        <v>45555</v>
      </c>
      <c r="B28" s="409" t="s">
        <v>138</v>
      </c>
      <c r="C28" s="471" t="s">
        <v>146</v>
      </c>
      <c r="D28" s="649" t="s">
        <v>63</v>
      </c>
      <c r="E28" s="649" t="s">
        <v>189</v>
      </c>
      <c r="F28" s="773" t="s">
        <v>137</v>
      </c>
    </row>
    <row r="29" spans="1:6" ht="15.75">
      <c r="A29" s="767">
        <v>45556</v>
      </c>
      <c r="B29" s="409" t="s">
        <v>17</v>
      </c>
      <c r="C29" s="362" t="s">
        <v>109</v>
      </c>
      <c r="D29" s="652" t="s">
        <v>129</v>
      </c>
      <c r="E29" s="652" t="s">
        <v>137</v>
      </c>
      <c r="F29" s="774" t="s">
        <v>23</v>
      </c>
    </row>
    <row r="30" spans="1:6" ht="15.75">
      <c r="A30" s="767">
        <v>45557</v>
      </c>
      <c r="B30" s="769" t="s">
        <v>295</v>
      </c>
      <c r="C30" s="362" t="s">
        <v>181</v>
      </c>
      <c r="D30" s="652" t="s">
        <v>129</v>
      </c>
      <c r="E30" s="652" t="s">
        <v>63</v>
      </c>
      <c r="F30" s="774" t="s">
        <v>23</v>
      </c>
    </row>
    <row r="31" spans="1:6" ht="15.75">
      <c r="A31" s="767">
        <v>45558</v>
      </c>
      <c r="B31" s="769" t="s">
        <v>296</v>
      </c>
      <c r="C31" s="362" t="s">
        <v>230</v>
      </c>
      <c r="D31" s="652" t="s">
        <v>129</v>
      </c>
      <c r="E31" s="652" t="s">
        <v>63</v>
      </c>
      <c r="F31" s="774" t="s">
        <v>23</v>
      </c>
    </row>
    <row r="32" spans="1:6" ht="15.75">
      <c r="A32" s="767">
        <v>45559</v>
      </c>
      <c r="B32" s="409" t="s">
        <v>297</v>
      </c>
      <c r="C32" s="362" t="s">
        <v>17</v>
      </c>
      <c r="D32" s="652" t="s">
        <v>129</v>
      </c>
      <c r="E32" s="652" t="s">
        <v>63</v>
      </c>
      <c r="F32" s="774" t="s">
        <v>23</v>
      </c>
    </row>
    <row r="33" spans="1:6" ht="15.75">
      <c r="A33" s="767">
        <v>45560</v>
      </c>
      <c r="B33" s="409" t="s">
        <v>293</v>
      </c>
      <c r="C33" s="362" t="s">
        <v>21</v>
      </c>
      <c r="D33" s="652" t="s">
        <v>129</v>
      </c>
      <c r="E33" s="652" t="s">
        <v>63</v>
      </c>
      <c r="F33" s="774" t="s">
        <v>23</v>
      </c>
    </row>
    <row r="34" spans="1:6" ht="15.75">
      <c r="A34" s="767">
        <v>45561</v>
      </c>
      <c r="B34" s="769" t="s">
        <v>296</v>
      </c>
      <c r="C34" s="362" t="s">
        <v>181</v>
      </c>
      <c r="D34" s="652" t="s">
        <v>129</v>
      </c>
      <c r="E34" s="652" t="s">
        <v>63</v>
      </c>
      <c r="F34" s="774" t="s">
        <v>23</v>
      </c>
    </row>
    <row r="35" spans="1:6" ht="15.75">
      <c r="A35" s="767">
        <v>45562</v>
      </c>
      <c r="B35" s="769" t="s">
        <v>21</v>
      </c>
      <c r="C35" s="471" t="s">
        <v>17</v>
      </c>
      <c r="D35" s="649" t="s">
        <v>63</v>
      </c>
      <c r="E35" s="649" t="s">
        <v>109</v>
      </c>
      <c r="F35" s="773" t="s">
        <v>146</v>
      </c>
    </row>
    <row r="36" spans="1:6" ht="15.75">
      <c r="A36" s="767">
        <v>45563</v>
      </c>
      <c r="B36" s="409" t="s">
        <v>138</v>
      </c>
      <c r="C36" s="362" t="s">
        <v>109</v>
      </c>
      <c r="D36" s="652" t="s">
        <v>129</v>
      </c>
      <c r="E36" s="652" t="s">
        <v>137</v>
      </c>
      <c r="F36" s="774" t="s">
        <v>23</v>
      </c>
    </row>
    <row r="37" spans="1:6" ht="15.75">
      <c r="A37" s="767">
        <v>45564</v>
      </c>
      <c r="B37" s="409" t="s">
        <v>293</v>
      </c>
      <c r="C37" s="362" t="s">
        <v>181</v>
      </c>
      <c r="D37" s="652" t="s">
        <v>129</v>
      </c>
      <c r="E37" s="652" t="s">
        <v>63</v>
      </c>
      <c r="F37" s="774" t="s">
        <v>23</v>
      </c>
    </row>
    <row r="38" spans="1:6" ht="15.75">
      <c r="A38" s="767">
        <v>45565</v>
      </c>
      <c r="B38" s="769" t="s">
        <v>295</v>
      </c>
      <c r="C38" s="493" t="s">
        <v>230</v>
      </c>
      <c r="D38" s="717" t="s">
        <v>129</v>
      </c>
      <c r="E38" s="652" t="s">
        <v>63</v>
      </c>
      <c r="F38" s="774" t="s">
        <v>23</v>
      </c>
    </row>
    <row r="39" spans="1:6" ht="15.75">
      <c r="A39" s="749"/>
      <c r="B39" s="786"/>
      <c r="C39" s="775"/>
      <c r="D39" s="775"/>
      <c r="E39" s="775"/>
      <c r="F39" s="787"/>
    </row>
    <row r="40" spans="1:6" ht="15.75" customHeight="1">
      <c r="A40" s="1250" t="s">
        <v>298</v>
      </c>
      <c r="B40" s="1251"/>
      <c r="C40" s="1251"/>
      <c r="D40" s="1251"/>
      <c r="E40" s="1251"/>
      <c r="F40" s="1251"/>
    </row>
    <row r="41" spans="1:6">
      <c r="A41" s="1147" t="s">
        <v>299</v>
      </c>
      <c r="B41" s="1147"/>
      <c r="C41" s="1147"/>
      <c r="D41" s="1147"/>
      <c r="E41" s="1147"/>
      <c r="F41" s="1147"/>
    </row>
    <row r="42" spans="1:6">
      <c r="A42" s="1147" t="s">
        <v>300</v>
      </c>
      <c r="B42" s="1147"/>
      <c r="C42" s="1147"/>
      <c r="D42" s="1147"/>
      <c r="E42" s="1147"/>
      <c r="F42" s="1147"/>
    </row>
    <row r="43" spans="1:6">
      <c r="A43" s="1147" t="s">
        <v>301</v>
      </c>
      <c r="B43" s="1147"/>
      <c r="C43" s="1147"/>
      <c r="D43" s="1147"/>
      <c r="E43" s="1147"/>
      <c r="F43" s="1147"/>
    </row>
    <row r="50" spans="1:6">
      <c r="F50" s="195"/>
    </row>
    <row r="53" spans="1:6" ht="21">
      <c r="A53" s="1102" t="s">
        <v>302</v>
      </c>
      <c r="B53" s="1102"/>
      <c r="C53" s="1102"/>
      <c r="D53" s="1102"/>
      <c r="E53" s="1102"/>
      <c r="F53" s="1102"/>
    </row>
    <row r="54" spans="1:6" ht="21">
      <c r="B54" s="1235" t="s">
        <v>4</v>
      </c>
      <c r="C54" s="1236"/>
      <c r="D54" s="1236"/>
      <c r="E54" s="1236"/>
      <c r="F54" s="1237"/>
    </row>
    <row r="55" spans="1:6" ht="21">
      <c r="B55" s="620" t="s">
        <v>5</v>
      </c>
      <c r="C55" s="1238" t="s">
        <v>6</v>
      </c>
      <c r="D55" s="1239"/>
      <c r="E55" s="1248" t="s">
        <v>128</v>
      </c>
      <c r="F55" s="1249"/>
    </row>
    <row r="56" spans="1:6" ht="15.75">
      <c r="A56" s="767">
        <v>45536</v>
      </c>
      <c r="B56" s="409" t="s">
        <v>17</v>
      </c>
      <c r="C56" s="1233" t="s">
        <v>303</v>
      </c>
      <c r="D56" s="1234"/>
      <c r="E56" s="1152"/>
      <c r="F56" s="1151"/>
    </row>
    <row r="57" spans="1:6" ht="15.75">
      <c r="A57" s="767">
        <v>45537</v>
      </c>
      <c r="B57" s="769" t="s">
        <v>110</v>
      </c>
      <c r="C57" s="1226" t="s">
        <v>304</v>
      </c>
      <c r="D57" s="1227"/>
      <c r="E57" s="1228" t="s">
        <v>42</v>
      </c>
      <c r="F57" s="1193"/>
    </row>
    <row r="58" spans="1:6" ht="15.75">
      <c r="A58" s="767">
        <v>45538</v>
      </c>
      <c r="B58" s="769" t="s">
        <v>146</v>
      </c>
      <c r="C58" s="1226" t="s">
        <v>305</v>
      </c>
      <c r="D58" s="1227"/>
      <c r="E58" s="1232"/>
      <c r="F58" s="1189"/>
    </row>
    <row r="59" spans="1:6" ht="15.75">
      <c r="A59" s="767">
        <v>45539</v>
      </c>
      <c r="B59" s="409" t="s">
        <v>130</v>
      </c>
      <c r="C59" s="1226" t="s">
        <v>248</v>
      </c>
      <c r="D59" s="1227"/>
      <c r="E59" s="1228"/>
      <c r="F59" s="1193"/>
    </row>
    <row r="60" spans="1:6" ht="15.75">
      <c r="A60" s="767">
        <v>45540</v>
      </c>
      <c r="B60" s="409" t="s">
        <v>17</v>
      </c>
      <c r="C60" s="1226" t="s">
        <v>306</v>
      </c>
      <c r="D60" s="1227"/>
      <c r="E60" s="1246" t="s">
        <v>129</v>
      </c>
      <c r="F60" s="1247"/>
    </row>
    <row r="61" spans="1:6" ht="15.75">
      <c r="A61" s="767">
        <v>45541</v>
      </c>
      <c r="B61" s="769" t="s">
        <v>110</v>
      </c>
      <c r="C61" s="1226" t="s">
        <v>307</v>
      </c>
      <c r="D61" s="1227"/>
      <c r="E61" s="1228" t="s">
        <v>181</v>
      </c>
      <c r="F61" s="1193"/>
    </row>
    <row r="62" spans="1:6" ht="15.75">
      <c r="A62" s="767">
        <v>45542</v>
      </c>
      <c r="B62" s="769" t="s">
        <v>146</v>
      </c>
      <c r="C62" s="1226" t="s">
        <v>236</v>
      </c>
      <c r="D62" s="1227"/>
      <c r="E62" s="1228"/>
      <c r="F62" s="1193"/>
    </row>
    <row r="63" spans="1:6" ht="15.75">
      <c r="A63" s="767">
        <v>45543</v>
      </c>
      <c r="B63" s="409" t="s">
        <v>130</v>
      </c>
      <c r="C63" s="1226" t="s">
        <v>308</v>
      </c>
      <c r="D63" s="1227"/>
      <c r="E63" s="1228"/>
      <c r="F63" s="1193"/>
    </row>
    <row r="64" spans="1:6" ht="15.75">
      <c r="A64" s="767">
        <v>45544</v>
      </c>
      <c r="B64" s="409" t="s">
        <v>17</v>
      </c>
      <c r="C64" s="1226" t="s">
        <v>309</v>
      </c>
      <c r="D64" s="1227"/>
      <c r="E64" s="1228"/>
      <c r="F64" s="1193"/>
    </row>
    <row r="65" spans="1:6" ht="15.75">
      <c r="A65" s="767">
        <v>45545</v>
      </c>
      <c r="B65" s="769" t="s">
        <v>110</v>
      </c>
      <c r="C65" s="1226" t="s">
        <v>310</v>
      </c>
      <c r="D65" s="1227"/>
      <c r="E65" s="1232"/>
      <c r="F65" s="1189"/>
    </row>
    <row r="66" spans="1:6" ht="15.75">
      <c r="A66" s="767">
        <v>45546</v>
      </c>
      <c r="B66" s="769" t="s">
        <v>146</v>
      </c>
      <c r="C66" s="1226" t="s">
        <v>311</v>
      </c>
      <c r="D66" s="1227"/>
      <c r="E66" s="1228" t="s">
        <v>312</v>
      </c>
      <c r="F66" s="1193"/>
    </row>
    <row r="67" spans="1:6" ht="15.75">
      <c r="A67" s="767">
        <v>45547</v>
      </c>
      <c r="B67" s="409" t="s">
        <v>130</v>
      </c>
      <c r="C67" s="1226" t="s">
        <v>196</v>
      </c>
      <c r="D67" s="1227"/>
      <c r="E67" s="1228" t="s">
        <v>17</v>
      </c>
      <c r="F67" s="1193"/>
    </row>
    <row r="68" spans="1:6" ht="15.75">
      <c r="A68" s="767">
        <v>45548</v>
      </c>
      <c r="B68" s="409" t="s">
        <v>17</v>
      </c>
      <c r="C68" s="1226" t="s">
        <v>313</v>
      </c>
      <c r="D68" s="1227"/>
      <c r="E68" s="1228"/>
      <c r="F68" s="1193"/>
    </row>
    <row r="69" spans="1:6" ht="15.75">
      <c r="A69" s="767">
        <v>45549</v>
      </c>
      <c r="B69" s="769" t="s">
        <v>21</v>
      </c>
      <c r="C69" s="1226" t="s">
        <v>236</v>
      </c>
      <c r="D69" s="1227"/>
      <c r="E69" s="1228" t="s">
        <v>129</v>
      </c>
      <c r="F69" s="1193"/>
    </row>
    <row r="70" spans="1:6" ht="15.75">
      <c r="A70" s="767">
        <v>45550</v>
      </c>
      <c r="B70" s="769" t="s">
        <v>146</v>
      </c>
      <c r="C70" s="1226" t="s">
        <v>314</v>
      </c>
      <c r="D70" s="1227"/>
      <c r="E70" s="1228" t="s">
        <v>23</v>
      </c>
      <c r="F70" s="1193"/>
    </row>
    <row r="71" spans="1:6" ht="15.75">
      <c r="A71" s="767">
        <v>45551</v>
      </c>
      <c r="B71" s="409" t="s">
        <v>130</v>
      </c>
      <c r="C71" s="1226" t="s">
        <v>315</v>
      </c>
      <c r="D71" s="1227"/>
      <c r="E71" s="1228"/>
      <c r="F71" s="1193"/>
    </row>
    <row r="72" spans="1:6" ht="15.75">
      <c r="A72" s="767">
        <v>45552</v>
      </c>
      <c r="B72" s="409" t="s">
        <v>17</v>
      </c>
      <c r="C72" s="1226" t="s">
        <v>316</v>
      </c>
      <c r="D72" s="1227"/>
      <c r="E72" s="1228" t="s">
        <v>317</v>
      </c>
      <c r="F72" s="1193"/>
    </row>
    <row r="73" spans="1:6" ht="15.75">
      <c r="A73" s="767">
        <v>45553</v>
      </c>
      <c r="B73" s="769" t="s">
        <v>21</v>
      </c>
      <c r="C73" s="1230" t="s">
        <v>318</v>
      </c>
      <c r="D73" s="1231"/>
      <c r="E73" s="1228" t="s">
        <v>17</v>
      </c>
      <c r="F73" s="1193"/>
    </row>
    <row r="74" spans="1:6" ht="15.75">
      <c r="A74" s="767">
        <v>45554</v>
      </c>
      <c r="B74" s="769" t="s">
        <v>146</v>
      </c>
      <c r="C74" s="1226" t="s">
        <v>246</v>
      </c>
      <c r="D74" s="1227"/>
      <c r="E74" s="1228" t="s">
        <v>17</v>
      </c>
      <c r="F74" s="1193"/>
    </row>
    <row r="75" spans="1:6" ht="15.75">
      <c r="A75" s="767">
        <v>45555</v>
      </c>
      <c r="B75" s="409" t="s">
        <v>130</v>
      </c>
      <c r="C75" s="1226" t="s">
        <v>319</v>
      </c>
      <c r="D75" s="1227"/>
      <c r="E75" s="1228"/>
      <c r="F75" s="1193"/>
    </row>
    <row r="76" spans="1:6" ht="15.75">
      <c r="A76" s="767">
        <v>45556</v>
      </c>
      <c r="B76" s="409" t="s">
        <v>17</v>
      </c>
      <c r="C76" s="1226" t="s">
        <v>320</v>
      </c>
      <c r="D76" s="1227"/>
      <c r="E76" s="1228" t="s">
        <v>129</v>
      </c>
      <c r="F76" s="1193"/>
    </row>
    <row r="77" spans="1:6" ht="15.75">
      <c r="A77" s="767">
        <v>45557</v>
      </c>
      <c r="B77" s="769" t="s">
        <v>21</v>
      </c>
      <c r="C77" s="1226" t="s">
        <v>321</v>
      </c>
      <c r="D77" s="1227"/>
      <c r="E77" s="1244" t="s">
        <v>23</v>
      </c>
      <c r="F77" s="1245"/>
    </row>
    <row r="78" spans="1:6" ht="15.75">
      <c r="A78" s="767">
        <v>45558</v>
      </c>
      <c r="B78" s="769" t="s">
        <v>146</v>
      </c>
      <c r="C78" s="1226" t="s">
        <v>309</v>
      </c>
      <c r="D78" s="1227"/>
      <c r="E78" s="1228"/>
      <c r="F78" s="1193"/>
    </row>
    <row r="79" spans="1:6" ht="15.75">
      <c r="A79" s="767">
        <v>45559</v>
      </c>
      <c r="B79" s="409" t="s">
        <v>130</v>
      </c>
      <c r="C79" s="1226" t="s">
        <v>189</v>
      </c>
      <c r="D79" s="1227"/>
      <c r="E79" s="1244" t="s">
        <v>322</v>
      </c>
      <c r="F79" s="1209"/>
    </row>
    <row r="80" spans="1:6" ht="15.75">
      <c r="A80" s="767">
        <v>45560</v>
      </c>
      <c r="B80" s="409" t="s">
        <v>17</v>
      </c>
      <c r="C80" s="1226" t="s">
        <v>323</v>
      </c>
      <c r="D80" s="1227"/>
      <c r="E80" s="1228" t="s">
        <v>181</v>
      </c>
      <c r="F80" s="1193"/>
    </row>
    <row r="81" spans="1:6" ht="15.75">
      <c r="A81" s="767">
        <v>45561</v>
      </c>
      <c r="B81" s="769" t="s">
        <v>146</v>
      </c>
      <c r="C81" s="1226" t="s">
        <v>250</v>
      </c>
      <c r="D81" s="1227"/>
      <c r="E81" s="1228" t="s">
        <v>129</v>
      </c>
      <c r="F81" s="1193"/>
    </row>
    <row r="82" spans="1:6" ht="15.75">
      <c r="A82" s="767">
        <v>45562</v>
      </c>
      <c r="B82" s="769" t="s">
        <v>21</v>
      </c>
      <c r="C82" s="1226" t="s">
        <v>247</v>
      </c>
      <c r="D82" s="1227"/>
      <c r="E82" s="1228" t="s">
        <v>324</v>
      </c>
      <c r="F82" s="1193"/>
    </row>
    <row r="83" spans="1:6" ht="15.75">
      <c r="A83" s="767">
        <v>45563</v>
      </c>
      <c r="B83" s="409" t="s">
        <v>130</v>
      </c>
      <c r="C83" s="1226" t="s">
        <v>325</v>
      </c>
      <c r="D83" s="1227"/>
      <c r="E83" s="1228"/>
      <c r="F83" s="1193"/>
    </row>
    <row r="84" spans="1:6" ht="15.75">
      <c r="A84" s="767">
        <v>45564</v>
      </c>
      <c r="B84" s="409" t="s">
        <v>17</v>
      </c>
      <c r="C84" s="1226" t="s">
        <v>308</v>
      </c>
      <c r="D84" s="1227"/>
      <c r="E84" s="1228" t="s">
        <v>14</v>
      </c>
      <c r="F84" s="1193"/>
    </row>
    <row r="85" spans="1:6" ht="15.75">
      <c r="A85" s="767">
        <v>45565</v>
      </c>
      <c r="B85" s="769" t="s">
        <v>21</v>
      </c>
      <c r="C85" s="1226" t="s">
        <v>99</v>
      </c>
      <c r="D85" s="1227"/>
      <c r="E85" s="1228"/>
      <c r="F85" s="1193"/>
    </row>
    <row r="86" spans="1:6" ht="15.75">
      <c r="A86" s="788"/>
      <c r="B86" s="58"/>
      <c r="C86" s="1221"/>
      <c r="D86" s="1222"/>
      <c r="E86" s="1223"/>
      <c r="F86" s="1197"/>
    </row>
    <row r="87" spans="1:6">
      <c r="A87" s="728"/>
      <c r="B87" s="776" t="s">
        <v>158</v>
      </c>
      <c r="C87" s="776" t="s">
        <v>326</v>
      </c>
      <c r="D87" s="777" t="s">
        <v>256</v>
      </c>
    </row>
    <row r="88" spans="1:6">
      <c r="A88" s="635" t="s">
        <v>257</v>
      </c>
      <c r="B88" s="731"/>
      <c r="C88" s="789" t="s">
        <v>327</v>
      </c>
      <c r="D88" s="733" t="s">
        <v>328</v>
      </c>
    </row>
    <row r="89" spans="1:6">
      <c r="A89" s="44" t="s">
        <v>260</v>
      </c>
      <c r="B89" s="734"/>
      <c r="C89" s="317" t="s">
        <v>329</v>
      </c>
      <c r="D89" s="413"/>
    </row>
    <row r="90" spans="1:6">
      <c r="A90" s="44" t="s">
        <v>262</v>
      </c>
      <c r="B90" s="734" t="s">
        <v>286</v>
      </c>
      <c r="C90" s="317" t="s">
        <v>330</v>
      </c>
      <c r="D90" s="781" t="s">
        <v>328</v>
      </c>
    </row>
    <row r="91" spans="1:6">
      <c r="A91" s="44" t="s">
        <v>264</v>
      </c>
      <c r="B91" s="734" t="s">
        <v>270</v>
      </c>
      <c r="C91" s="317" t="s">
        <v>331</v>
      </c>
      <c r="D91" s="413"/>
    </row>
    <row r="92" spans="1:6">
      <c r="A92" s="44" t="s">
        <v>265</v>
      </c>
      <c r="B92" s="1224" t="s">
        <v>332</v>
      </c>
      <c r="C92" s="1163"/>
      <c r="D92" s="781" t="s">
        <v>333</v>
      </c>
    </row>
    <row r="93" spans="1:6">
      <c r="A93" s="44" t="s">
        <v>267</v>
      </c>
      <c r="B93" s="734"/>
      <c r="C93" s="317" t="s">
        <v>334</v>
      </c>
      <c r="D93" s="781" t="s">
        <v>328</v>
      </c>
    </row>
    <row r="94" spans="1:6">
      <c r="A94" s="44" t="s">
        <v>269</v>
      </c>
      <c r="B94" s="734"/>
      <c r="C94" s="317" t="s">
        <v>335</v>
      </c>
      <c r="D94" s="413"/>
    </row>
    <row r="95" spans="1:6">
      <c r="A95" s="44" t="s">
        <v>271</v>
      </c>
      <c r="B95" s="734"/>
      <c r="C95" s="317" t="s">
        <v>336</v>
      </c>
      <c r="D95" s="413"/>
    </row>
    <row r="96" spans="1:6">
      <c r="A96" s="44" t="s">
        <v>272</v>
      </c>
      <c r="B96" s="734" t="s">
        <v>273</v>
      </c>
      <c r="C96" s="317" t="s">
        <v>337</v>
      </c>
      <c r="D96" s="413"/>
    </row>
    <row r="97" spans="1:4">
      <c r="A97" s="44" t="s">
        <v>275</v>
      </c>
      <c r="B97" s="734" t="s">
        <v>263</v>
      </c>
      <c r="C97" s="1161" t="s">
        <v>338</v>
      </c>
      <c r="D97" s="1225"/>
    </row>
    <row r="98" spans="1:4">
      <c r="A98" s="44" t="s">
        <v>278</v>
      </c>
      <c r="B98" s="734"/>
      <c r="C98" s="317" t="s">
        <v>339</v>
      </c>
      <c r="D98" s="413"/>
    </row>
    <row r="99" spans="1:4">
      <c r="A99" s="44" t="s">
        <v>340</v>
      </c>
      <c r="B99" s="734" t="s">
        <v>341</v>
      </c>
      <c r="C99" s="317" t="s">
        <v>342</v>
      </c>
      <c r="D99" s="413"/>
    </row>
    <row r="100" spans="1:4">
      <c r="A100" s="44" t="s">
        <v>343</v>
      </c>
      <c r="B100" s="734"/>
      <c r="C100" s="317" t="s">
        <v>344</v>
      </c>
      <c r="D100" s="413"/>
    </row>
    <row r="101" spans="1:4">
      <c r="A101" s="44" t="s">
        <v>284</v>
      </c>
      <c r="B101" s="734" t="s">
        <v>281</v>
      </c>
      <c r="C101" s="317" t="s">
        <v>329</v>
      </c>
      <c r="D101" s="413"/>
    </row>
    <row r="102" spans="1:4">
      <c r="A102" s="699" t="s">
        <v>285</v>
      </c>
      <c r="B102" s="735" t="s">
        <v>263</v>
      </c>
      <c r="C102" s="333" t="s">
        <v>345</v>
      </c>
      <c r="D102" s="423"/>
    </row>
    <row r="103" spans="1:4">
      <c r="A103" s="68" t="s">
        <v>288</v>
      </c>
      <c r="B103" s="736"/>
      <c r="C103" s="338" t="s">
        <v>331</v>
      </c>
      <c r="D103" s="426"/>
    </row>
  </sheetData>
  <mergeCells count="78">
    <mergeCell ref="C5:D5"/>
    <mergeCell ref="B6:F6"/>
    <mergeCell ref="C7:F7"/>
    <mergeCell ref="A40:F40"/>
    <mergeCell ref="A41:F41"/>
    <mergeCell ref="A42:F42"/>
    <mergeCell ref="A43:F43"/>
    <mergeCell ref="A53:F53"/>
    <mergeCell ref="B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E81:F81"/>
    <mergeCell ref="C82:D82"/>
    <mergeCell ref="E82:F82"/>
    <mergeCell ref="C77:D77"/>
    <mergeCell ref="E77:F77"/>
    <mergeCell ref="C78:D78"/>
    <mergeCell ref="E78:F78"/>
    <mergeCell ref="C79:D79"/>
    <mergeCell ref="E79:F79"/>
    <mergeCell ref="C86:D86"/>
    <mergeCell ref="E86:F86"/>
    <mergeCell ref="B92:C92"/>
    <mergeCell ref="C97:D97"/>
    <mergeCell ref="A1:A4"/>
    <mergeCell ref="A6:A8"/>
    <mergeCell ref="B1:F4"/>
    <mergeCell ref="C83:D83"/>
    <mergeCell ref="E83:F83"/>
    <mergeCell ref="C84:D84"/>
    <mergeCell ref="E84:F84"/>
    <mergeCell ref="C85:D85"/>
    <mergeCell ref="E85:F85"/>
    <mergeCell ref="C80:D80"/>
    <mergeCell ref="E80:F80"/>
    <mergeCell ref="C81:D81"/>
  </mergeCells>
  <pageMargins left="0" right="0" top="0" bottom="0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2"/>
  <sheetViews>
    <sheetView topLeftCell="A52" workbookViewId="0">
      <selection activeCell="B91" sqref="B91:C91"/>
    </sheetView>
  </sheetViews>
  <sheetFormatPr baseColWidth="10" defaultColWidth="11" defaultRowHeight="15"/>
  <cols>
    <col min="1" max="1" width="30" customWidth="1"/>
    <col min="3" max="6" width="13.42578125" customWidth="1"/>
  </cols>
  <sheetData>
    <row r="1" spans="1:6">
      <c r="A1" s="1083"/>
      <c r="B1" s="1090" t="s">
        <v>346</v>
      </c>
      <c r="C1" s="1094"/>
      <c r="D1" s="1094"/>
      <c r="E1" s="1094"/>
      <c r="F1" s="1094"/>
    </row>
    <row r="2" spans="1:6">
      <c r="A2" s="1083"/>
      <c r="B2" s="1094"/>
      <c r="C2" s="1094"/>
      <c r="D2" s="1094"/>
      <c r="E2" s="1094"/>
      <c r="F2" s="1094"/>
    </row>
    <row r="3" spans="1:6">
      <c r="A3" s="1083"/>
      <c r="B3" s="1094"/>
      <c r="C3" s="1094"/>
      <c r="D3" s="1094"/>
      <c r="E3" s="1094"/>
      <c r="F3" s="1094"/>
    </row>
    <row r="4" spans="1:6">
      <c r="A4" s="1083"/>
      <c r="B4" s="1094"/>
      <c r="C4" s="1094"/>
      <c r="D4" s="1094"/>
      <c r="E4" s="1094"/>
      <c r="F4" s="1094"/>
    </row>
    <row r="5" spans="1:6" ht="15.75">
      <c r="A5" s="431"/>
      <c r="B5" s="431"/>
      <c r="C5" s="1126">
        <v>2024</v>
      </c>
      <c r="D5" s="1126"/>
      <c r="E5" s="2"/>
      <c r="F5" s="432"/>
    </row>
    <row r="6" spans="1:6" ht="15.75">
      <c r="A6" s="1134" t="s">
        <v>2</v>
      </c>
      <c r="B6" s="1138" t="s">
        <v>40</v>
      </c>
      <c r="C6" s="1139"/>
      <c r="D6" s="1139"/>
      <c r="E6" s="1139"/>
      <c r="F6" s="1141"/>
    </row>
    <row r="7" spans="1:6" ht="15.75">
      <c r="A7" s="1135"/>
      <c r="B7" s="737" t="s">
        <v>5</v>
      </c>
      <c r="C7" s="1142" t="s">
        <v>6</v>
      </c>
      <c r="D7" s="1143"/>
      <c r="E7" s="1143"/>
      <c r="F7" s="1242"/>
    </row>
    <row r="8" spans="1:6" ht="15.75">
      <c r="A8" s="1157"/>
      <c r="B8" s="764" t="s">
        <v>178</v>
      </c>
      <c r="C8" s="765" t="s">
        <v>8</v>
      </c>
      <c r="D8" s="765" t="s">
        <v>9</v>
      </c>
      <c r="E8" s="765" t="s">
        <v>10</v>
      </c>
      <c r="F8" s="766" t="s">
        <v>7</v>
      </c>
    </row>
    <row r="9" spans="1:6" ht="15.75">
      <c r="A9" s="767">
        <v>45566</v>
      </c>
      <c r="B9" s="409" t="s">
        <v>347</v>
      </c>
      <c r="C9" s="361" t="s">
        <v>17</v>
      </c>
      <c r="D9" s="715" t="s">
        <v>129</v>
      </c>
      <c r="E9" s="715" t="s">
        <v>63</v>
      </c>
      <c r="F9" s="768" t="s">
        <v>23</v>
      </c>
    </row>
    <row r="10" spans="1:6" ht="15.75">
      <c r="A10" s="767">
        <v>45567</v>
      </c>
      <c r="B10" s="769" t="s">
        <v>138</v>
      </c>
      <c r="C10" s="361" t="s">
        <v>21</v>
      </c>
      <c r="D10" s="715" t="s">
        <v>129</v>
      </c>
      <c r="E10" s="715" t="s">
        <v>63</v>
      </c>
      <c r="F10" s="768" t="s">
        <v>23</v>
      </c>
    </row>
    <row r="11" spans="1:6" ht="15.75">
      <c r="A11" s="767">
        <v>45568</v>
      </c>
      <c r="B11" s="769" t="s">
        <v>348</v>
      </c>
      <c r="C11" s="361" t="s">
        <v>146</v>
      </c>
      <c r="D11" s="715" t="s">
        <v>21</v>
      </c>
      <c r="E11" s="715" t="s">
        <v>63</v>
      </c>
      <c r="F11" s="768" t="s">
        <v>23</v>
      </c>
    </row>
    <row r="12" spans="1:6" ht="15.75">
      <c r="A12" s="767">
        <v>45569</v>
      </c>
      <c r="B12" s="770" t="s">
        <v>349</v>
      </c>
      <c r="C12" s="771" t="s">
        <v>17</v>
      </c>
      <c r="D12" s="742" t="s">
        <v>63</v>
      </c>
      <c r="E12" s="742" t="s">
        <v>109</v>
      </c>
      <c r="F12" s="743" t="s">
        <v>350</v>
      </c>
    </row>
    <row r="13" spans="1:6" ht="15.75">
      <c r="A13" s="767">
        <v>45570</v>
      </c>
      <c r="B13" s="409" t="s">
        <v>347</v>
      </c>
      <c r="C13" s="361" t="s">
        <v>42</v>
      </c>
      <c r="D13" s="715" t="s">
        <v>129</v>
      </c>
      <c r="E13" s="715" t="s">
        <v>137</v>
      </c>
      <c r="F13" s="768" t="s">
        <v>23</v>
      </c>
    </row>
    <row r="14" spans="1:6" ht="15.75">
      <c r="A14" s="767">
        <v>45571</v>
      </c>
      <c r="B14" s="769" t="s">
        <v>134</v>
      </c>
      <c r="C14" s="361" t="s">
        <v>42</v>
      </c>
      <c r="D14" s="715" t="s">
        <v>129</v>
      </c>
      <c r="E14" s="652" t="s">
        <v>63</v>
      </c>
      <c r="F14" s="768" t="s">
        <v>23</v>
      </c>
    </row>
    <row r="15" spans="1:6" ht="15.75">
      <c r="A15" s="767">
        <v>45572</v>
      </c>
      <c r="B15" s="769" t="s">
        <v>351</v>
      </c>
      <c r="C15" s="361" t="s">
        <v>42</v>
      </c>
      <c r="D15" s="652" t="s">
        <v>129</v>
      </c>
      <c r="E15" s="652" t="s">
        <v>63</v>
      </c>
      <c r="F15" s="768" t="s">
        <v>23</v>
      </c>
    </row>
    <row r="16" spans="1:6" ht="15.75">
      <c r="A16" s="767">
        <v>45573</v>
      </c>
      <c r="B16" s="409" t="s">
        <v>352</v>
      </c>
      <c r="C16" s="361" t="s">
        <v>42</v>
      </c>
      <c r="D16" s="652" t="s">
        <v>129</v>
      </c>
      <c r="E16" s="652" t="s">
        <v>63</v>
      </c>
      <c r="F16" s="768" t="s">
        <v>23</v>
      </c>
    </row>
    <row r="17" spans="1:6" ht="15.75">
      <c r="A17" s="767">
        <v>45574</v>
      </c>
      <c r="B17" s="409" t="s">
        <v>179</v>
      </c>
      <c r="C17" s="361" t="s">
        <v>42</v>
      </c>
      <c r="D17" s="652" t="s">
        <v>129</v>
      </c>
      <c r="E17" s="652" t="s">
        <v>63</v>
      </c>
      <c r="F17" s="768" t="s">
        <v>23</v>
      </c>
    </row>
    <row r="18" spans="1:6" ht="15.75">
      <c r="A18" s="767">
        <v>45575</v>
      </c>
      <c r="B18" s="769" t="s">
        <v>352</v>
      </c>
      <c r="C18" s="361" t="s">
        <v>42</v>
      </c>
      <c r="D18" s="652" t="s">
        <v>129</v>
      </c>
      <c r="E18" s="652" t="s">
        <v>63</v>
      </c>
      <c r="F18" s="768" t="s">
        <v>23</v>
      </c>
    </row>
    <row r="19" spans="1:6" ht="15.75">
      <c r="A19" s="767">
        <v>45576</v>
      </c>
      <c r="B19" s="772" t="s">
        <v>353</v>
      </c>
      <c r="C19" s="471" t="s">
        <v>110</v>
      </c>
      <c r="D19" s="649"/>
      <c r="E19" s="649" t="s">
        <v>109</v>
      </c>
      <c r="F19" s="773"/>
    </row>
    <row r="20" spans="1:6" ht="15.75">
      <c r="A20" s="767">
        <v>45577</v>
      </c>
      <c r="B20" s="409" t="s">
        <v>21</v>
      </c>
      <c r="C20" s="362" t="s">
        <v>17</v>
      </c>
      <c r="D20" s="652" t="s">
        <v>129</v>
      </c>
      <c r="E20" s="652" t="s">
        <v>137</v>
      </c>
      <c r="F20" s="774" t="s">
        <v>23</v>
      </c>
    </row>
    <row r="21" spans="1:6" ht="15.75">
      <c r="A21" s="767">
        <v>45578</v>
      </c>
      <c r="B21" s="409" t="s">
        <v>179</v>
      </c>
      <c r="C21" s="362" t="s">
        <v>42</v>
      </c>
      <c r="D21" s="652" t="s">
        <v>129</v>
      </c>
      <c r="E21" s="652" t="s">
        <v>63</v>
      </c>
      <c r="F21" s="774" t="s">
        <v>23</v>
      </c>
    </row>
    <row r="22" spans="1:6" ht="15.75">
      <c r="A22" s="767">
        <v>45579</v>
      </c>
      <c r="B22" s="409" t="s">
        <v>179</v>
      </c>
      <c r="C22" s="362" t="s">
        <v>42</v>
      </c>
      <c r="D22" s="652" t="s">
        <v>129</v>
      </c>
      <c r="E22" s="652" t="s">
        <v>63</v>
      </c>
      <c r="F22" s="774" t="s">
        <v>23</v>
      </c>
    </row>
    <row r="23" spans="1:6" ht="15.75">
      <c r="A23" s="767">
        <v>45580</v>
      </c>
      <c r="B23" s="769" t="s">
        <v>351</v>
      </c>
      <c r="C23" s="362" t="s">
        <v>42</v>
      </c>
      <c r="D23" s="652" t="s">
        <v>129</v>
      </c>
      <c r="E23" s="652" t="s">
        <v>63</v>
      </c>
      <c r="F23" s="774" t="s">
        <v>23</v>
      </c>
    </row>
    <row r="24" spans="1:6" ht="15.75">
      <c r="A24" s="767">
        <v>45581</v>
      </c>
      <c r="B24" s="409" t="s">
        <v>354</v>
      </c>
      <c r="C24" s="362" t="s">
        <v>42</v>
      </c>
      <c r="D24" s="652" t="s">
        <v>129</v>
      </c>
      <c r="E24" s="652" t="s">
        <v>63</v>
      </c>
      <c r="F24" s="774" t="s">
        <v>23</v>
      </c>
    </row>
    <row r="25" spans="1:6" ht="15.75">
      <c r="A25" s="767">
        <v>45582</v>
      </c>
      <c r="B25" s="409" t="s">
        <v>179</v>
      </c>
      <c r="C25" s="362" t="s">
        <v>42</v>
      </c>
      <c r="D25" s="652" t="s">
        <v>129</v>
      </c>
      <c r="E25" s="652" t="s">
        <v>63</v>
      </c>
      <c r="F25" s="774" t="s">
        <v>23</v>
      </c>
    </row>
    <row r="26" spans="1:6" ht="15.75">
      <c r="A26" s="767">
        <v>45583</v>
      </c>
      <c r="B26" s="772" t="s">
        <v>110</v>
      </c>
      <c r="C26" s="471" t="s">
        <v>181</v>
      </c>
      <c r="D26" s="649" t="s">
        <v>63</v>
      </c>
      <c r="E26" s="649" t="s">
        <v>109</v>
      </c>
      <c r="F26" s="773" t="s">
        <v>350</v>
      </c>
    </row>
    <row r="27" spans="1:6" ht="15.75">
      <c r="A27" s="767">
        <v>45584</v>
      </c>
      <c r="B27" s="769" t="s">
        <v>17</v>
      </c>
      <c r="C27" s="362" t="s">
        <v>42</v>
      </c>
      <c r="D27" s="652" t="s">
        <v>129</v>
      </c>
      <c r="E27" s="652" t="s">
        <v>137</v>
      </c>
      <c r="F27" s="774" t="s">
        <v>23</v>
      </c>
    </row>
    <row r="28" spans="1:6" ht="15.75">
      <c r="A28" s="767">
        <v>45585</v>
      </c>
      <c r="B28" s="409" t="s">
        <v>21</v>
      </c>
      <c r="C28" s="362" t="s">
        <v>42</v>
      </c>
      <c r="D28" s="652" t="s">
        <v>17</v>
      </c>
      <c r="E28" s="652"/>
      <c r="F28" s="774" t="s">
        <v>23</v>
      </c>
    </row>
    <row r="29" spans="1:6" ht="15.75">
      <c r="A29" s="767">
        <v>45586</v>
      </c>
      <c r="B29" s="409" t="s">
        <v>146</v>
      </c>
      <c r="C29" s="362" t="s">
        <v>42</v>
      </c>
      <c r="D29" s="652" t="s">
        <v>129</v>
      </c>
      <c r="E29" s="652" t="s">
        <v>21</v>
      </c>
      <c r="F29" s="774" t="s">
        <v>23</v>
      </c>
    </row>
    <row r="30" spans="1:6" ht="15.75">
      <c r="A30" s="767">
        <v>45587</v>
      </c>
      <c r="B30" s="769" t="s">
        <v>355</v>
      </c>
      <c r="C30" s="362" t="s">
        <v>42</v>
      </c>
      <c r="D30" s="652" t="s">
        <v>129</v>
      </c>
      <c r="E30" s="652"/>
      <c r="F30" s="774" t="s">
        <v>23</v>
      </c>
    </row>
    <row r="31" spans="1:6" ht="15.75">
      <c r="A31" s="767">
        <v>45588</v>
      </c>
      <c r="B31" s="769" t="s">
        <v>351</v>
      </c>
      <c r="C31" s="362" t="s">
        <v>42</v>
      </c>
      <c r="D31" s="652" t="s">
        <v>129</v>
      </c>
      <c r="E31" s="652" t="s">
        <v>63</v>
      </c>
      <c r="F31" s="774" t="s">
        <v>23</v>
      </c>
    </row>
    <row r="32" spans="1:6" ht="15.75">
      <c r="A32" s="767">
        <v>45589</v>
      </c>
      <c r="B32" s="409" t="s">
        <v>355</v>
      </c>
      <c r="C32" s="362" t="s">
        <v>42</v>
      </c>
      <c r="D32" s="652" t="s">
        <v>17</v>
      </c>
      <c r="E32" s="652" t="s">
        <v>63</v>
      </c>
      <c r="F32" s="774" t="s">
        <v>23</v>
      </c>
    </row>
    <row r="33" spans="1:6" ht="15.75">
      <c r="A33" s="767">
        <v>45590</v>
      </c>
      <c r="B33" s="770" t="s">
        <v>184</v>
      </c>
      <c r="C33" s="471" t="s">
        <v>17</v>
      </c>
      <c r="D33" s="649" t="s">
        <v>63</v>
      </c>
      <c r="E33" s="649" t="s">
        <v>109</v>
      </c>
      <c r="F33" s="773" t="s">
        <v>350</v>
      </c>
    </row>
    <row r="34" spans="1:6" ht="15.75">
      <c r="A34" s="767">
        <v>45591</v>
      </c>
      <c r="B34" s="769" t="s">
        <v>17</v>
      </c>
      <c r="C34" s="362" t="s">
        <v>42</v>
      </c>
      <c r="D34" s="652" t="s">
        <v>129</v>
      </c>
      <c r="E34" s="652" t="s">
        <v>137</v>
      </c>
      <c r="F34" s="774" t="s">
        <v>23</v>
      </c>
    </row>
    <row r="35" spans="1:6" ht="15.75">
      <c r="A35" s="767">
        <v>45592</v>
      </c>
      <c r="B35" s="769" t="s">
        <v>351</v>
      </c>
      <c r="C35" s="362" t="s">
        <v>42</v>
      </c>
      <c r="D35" s="652" t="s">
        <v>129</v>
      </c>
      <c r="E35" s="652" t="s">
        <v>63</v>
      </c>
      <c r="F35" s="774"/>
    </row>
    <row r="36" spans="1:6" ht="15.75">
      <c r="A36" s="767">
        <v>45593</v>
      </c>
      <c r="B36" s="409" t="s">
        <v>355</v>
      </c>
      <c r="C36" s="362" t="s">
        <v>42</v>
      </c>
      <c r="D36" s="652" t="s">
        <v>129</v>
      </c>
      <c r="E36" s="652" t="s">
        <v>63</v>
      </c>
      <c r="F36" s="774"/>
    </row>
    <row r="37" spans="1:6" ht="15.75">
      <c r="A37" s="767">
        <v>45594</v>
      </c>
      <c r="B37" s="409" t="s">
        <v>179</v>
      </c>
      <c r="C37" s="362" t="s">
        <v>42</v>
      </c>
      <c r="D37" s="652" t="s">
        <v>129</v>
      </c>
      <c r="E37" s="652" t="s">
        <v>63</v>
      </c>
      <c r="F37" s="774"/>
    </row>
    <row r="38" spans="1:6" ht="15.75">
      <c r="A38" s="767">
        <v>45595</v>
      </c>
      <c r="B38" s="769" t="s">
        <v>134</v>
      </c>
      <c r="C38" s="362" t="s">
        <v>42</v>
      </c>
      <c r="D38" s="717" t="s">
        <v>129</v>
      </c>
      <c r="E38" s="652" t="s">
        <v>63</v>
      </c>
      <c r="F38" s="774" t="s">
        <v>23</v>
      </c>
    </row>
    <row r="39" spans="1:6" ht="15.75">
      <c r="A39" s="767">
        <v>45596</v>
      </c>
      <c r="B39" s="769" t="s">
        <v>356</v>
      </c>
      <c r="C39" s="362" t="s">
        <v>42</v>
      </c>
      <c r="D39" s="775" t="s">
        <v>129</v>
      </c>
      <c r="E39" s="652" t="s">
        <v>63</v>
      </c>
      <c r="F39" s="774" t="s">
        <v>23</v>
      </c>
    </row>
    <row r="40" spans="1:6">
      <c r="A40" s="1254"/>
      <c r="B40" s="1255"/>
      <c r="C40" s="1255"/>
      <c r="D40" s="1255"/>
      <c r="E40" s="1255"/>
      <c r="F40" s="1255"/>
    </row>
    <row r="41" spans="1:6">
      <c r="A41" s="1147"/>
      <c r="B41" s="1147"/>
      <c r="C41" s="1147"/>
      <c r="D41" s="1147"/>
      <c r="E41" s="1147"/>
      <c r="F41" s="1147"/>
    </row>
    <row r="42" spans="1:6">
      <c r="A42" s="1147"/>
      <c r="B42" s="1147"/>
      <c r="C42" s="1147"/>
      <c r="D42" s="1147"/>
      <c r="E42" s="1147"/>
      <c r="F42" s="1147"/>
    </row>
    <row r="48" spans="1:6">
      <c r="F48" s="195"/>
    </row>
    <row r="49" spans="1:6">
      <c r="F49" s="195"/>
    </row>
    <row r="52" spans="1:6" ht="21" customHeight="1">
      <c r="A52" s="1102" t="s">
        <v>357</v>
      </c>
      <c r="B52" s="1102"/>
      <c r="C52" s="1102"/>
      <c r="D52" s="1102"/>
      <c r="E52" s="1102"/>
      <c r="F52" s="1102"/>
    </row>
    <row r="53" spans="1:6" ht="18.75" customHeight="1">
      <c r="B53" s="1235" t="s">
        <v>4</v>
      </c>
      <c r="C53" s="1236"/>
      <c r="D53" s="1236"/>
      <c r="E53" s="1236"/>
      <c r="F53" s="1237"/>
    </row>
    <row r="54" spans="1:6" ht="15" customHeight="1">
      <c r="B54" s="620" t="s">
        <v>5</v>
      </c>
      <c r="C54" s="1238" t="s">
        <v>6</v>
      </c>
      <c r="D54" s="1239"/>
      <c r="E54" s="1248" t="s">
        <v>128</v>
      </c>
      <c r="F54" s="1249"/>
    </row>
    <row r="55" spans="1:6" ht="15.75">
      <c r="A55" s="767">
        <v>45566</v>
      </c>
      <c r="B55" s="409" t="s">
        <v>146</v>
      </c>
      <c r="C55" s="1233" t="s">
        <v>307</v>
      </c>
      <c r="D55" s="1234"/>
      <c r="E55" s="1152"/>
      <c r="F55" s="1151"/>
    </row>
    <row r="56" spans="1:6" ht="15.75">
      <c r="A56" s="767">
        <v>45567</v>
      </c>
      <c r="B56" s="769" t="s">
        <v>130</v>
      </c>
      <c r="C56" s="1226" t="s">
        <v>358</v>
      </c>
      <c r="D56" s="1227"/>
      <c r="E56" s="1228" t="s">
        <v>21</v>
      </c>
      <c r="F56" s="1193"/>
    </row>
    <row r="57" spans="1:6" ht="15.75">
      <c r="A57" s="767">
        <v>45568</v>
      </c>
      <c r="B57" s="769" t="s">
        <v>17</v>
      </c>
      <c r="C57" s="1226" t="s">
        <v>306</v>
      </c>
      <c r="D57" s="1227"/>
      <c r="E57" s="1246" t="s">
        <v>137</v>
      </c>
      <c r="F57" s="1247"/>
    </row>
    <row r="58" spans="1:6" ht="15.75">
      <c r="A58" s="767">
        <v>45569</v>
      </c>
      <c r="B58" s="409" t="s">
        <v>21</v>
      </c>
      <c r="C58" s="1226" t="s">
        <v>359</v>
      </c>
      <c r="D58" s="1227"/>
      <c r="E58" s="1228" t="s">
        <v>17</v>
      </c>
      <c r="F58" s="1193"/>
    </row>
    <row r="59" spans="1:6" ht="15.75">
      <c r="A59" s="767">
        <v>45570</v>
      </c>
      <c r="B59" s="409" t="s">
        <v>146</v>
      </c>
      <c r="C59" s="1226" t="s">
        <v>236</v>
      </c>
      <c r="D59" s="1227"/>
      <c r="E59" s="1246" t="s">
        <v>129</v>
      </c>
      <c r="F59" s="1247"/>
    </row>
    <row r="60" spans="1:6" ht="15.75">
      <c r="A60" s="767">
        <v>45571</v>
      </c>
      <c r="B60" s="769" t="s">
        <v>130</v>
      </c>
      <c r="C60" s="1226" t="s">
        <v>360</v>
      </c>
      <c r="D60" s="1227"/>
      <c r="E60" s="1228" t="s">
        <v>42</v>
      </c>
      <c r="F60" s="1193"/>
    </row>
    <row r="61" spans="1:6" ht="15.75">
      <c r="A61" s="767">
        <v>45572</v>
      </c>
      <c r="B61" s="769" t="s">
        <v>17</v>
      </c>
      <c r="C61" s="1226" t="s">
        <v>361</v>
      </c>
      <c r="D61" s="1227"/>
      <c r="E61" s="1228"/>
      <c r="F61" s="1193"/>
    </row>
    <row r="62" spans="1:6" ht="15.75">
      <c r="A62" s="767">
        <v>45573</v>
      </c>
      <c r="B62" s="409" t="s">
        <v>21</v>
      </c>
      <c r="C62" s="1226" t="s">
        <v>362</v>
      </c>
      <c r="D62" s="1227"/>
      <c r="E62" s="1228" t="s">
        <v>129</v>
      </c>
      <c r="F62" s="1193"/>
    </row>
    <row r="63" spans="1:6" ht="15.75">
      <c r="A63" s="767">
        <v>45574</v>
      </c>
      <c r="B63" s="409" t="s">
        <v>146</v>
      </c>
      <c r="C63" s="1226" t="s">
        <v>363</v>
      </c>
      <c r="D63" s="1227"/>
      <c r="E63" s="1228"/>
      <c r="F63" s="1193"/>
    </row>
    <row r="64" spans="1:6" ht="15.75">
      <c r="A64" s="767">
        <v>45575</v>
      </c>
      <c r="B64" s="769" t="s">
        <v>21</v>
      </c>
      <c r="C64" s="1226" t="s">
        <v>364</v>
      </c>
      <c r="D64" s="1227"/>
      <c r="E64" s="1232"/>
      <c r="F64" s="1189"/>
    </row>
    <row r="65" spans="1:6" ht="15.75">
      <c r="A65" s="767">
        <v>45576</v>
      </c>
      <c r="B65" s="769" t="s">
        <v>17</v>
      </c>
      <c r="C65" s="1226" t="s">
        <v>188</v>
      </c>
      <c r="D65" s="1227"/>
      <c r="E65" s="1228"/>
      <c r="F65" s="1193"/>
    </row>
    <row r="66" spans="1:6" ht="15.75">
      <c r="A66" s="767">
        <v>45577</v>
      </c>
      <c r="B66" s="409" t="s">
        <v>21</v>
      </c>
      <c r="C66" s="1226" t="s">
        <v>365</v>
      </c>
      <c r="D66" s="1227"/>
      <c r="E66" s="1228" t="s">
        <v>17</v>
      </c>
      <c r="F66" s="1193"/>
    </row>
    <row r="67" spans="1:6" ht="15.75">
      <c r="A67" s="767">
        <v>45578</v>
      </c>
      <c r="B67" s="409" t="s">
        <v>146</v>
      </c>
      <c r="C67" s="1226" t="s">
        <v>366</v>
      </c>
      <c r="D67" s="1227"/>
      <c r="E67" s="1228" t="s">
        <v>42</v>
      </c>
      <c r="F67" s="1193"/>
    </row>
    <row r="68" spans="1:6" ht="15.75">
      <c r="A68" s="767">
        <v>45579</v>
      </c>
      <c r="B68" s="769" t="s">
        <v>146</v>
      </c>
      <c r="C68" s="1226" t="s">
        <v>367</v>
      </c>
      <c r="D68" s="1227"/>
      <c r="E68" s="1228" t="s">
        <v>23</v>
      </c>
      <c r="F68" s="1193"/>
    </row>
    <row r="69" spans="1:6" ht="15.75">
      <c r="A69" s="767">
        <v>45580</v>
      </c>
      <c r="B69" s="769" t="s">
        <v>17</v>
      </c>
      <c r="C69" s="1226" t="s">
        <v>368</v>
      </c>
      <c r="D69" s="1227"/>
      <c r="E69" s="1228"/>
      <c r="F69" s="1193"/>
    </row>
    <row r="70" spans="1:6" ht="15.75">
      <c r="A70" s="767">
        <v>45581</v>
      </c>
      <c r="B70" s="409" t="s">
        <v>21</v>
      </c>
      <c r="C70" s="1226" t="s">
        <v>369</v>
      </c>
      <c r="D70" s="1227"/>
      <c r="E70" s="1228" t="s">
        <v>42</v>
      </c>
      <c r="F70" s="1193"/>
    </row>
    <row r="71" spans="1:6" ht="15.75">
      <c r="A71" s="767">
        <v>45582</v>
      </c>
      <c r="B71" s="409" t="s">
        <v>146</v>
      </c>
      <c r="C71" s="1226" t="s">
        <v>370</v>
      </c>
      <c r="D71" s="1227"/>
      <c r="E71" s="1228"/>
      <c r="F71" s="1193"/>
    </row>
    <row r="72" spans="1:6" ht="15.75">
      <c r="A72" s="767">
        <v>45583</v>
      </c>
      <c r="B72" s="769" t="s">
        <v>110</v>
      </c>
      <c r="C72" s="1230" t="s">
        <v>307</v>
      </c>
      <c r="D72" s="1231"/>
      <c r="E72" s="1228"/>
      <c r="F72" s="1193"/>
    </row>
    <row r="73" spans="1:6" ht="15.75">
      <c r="A73" s="767">
        <v>45584</v>
      </c>
      <c r="B73" s="769" t="s">
        <v>17</v>
      </c>
      <c r="C73" s="1226" t="s">
        <v>241</v>
      </c>
      <c r="D73" s="1227"/>
      <c r="E73" s="1228"/>
      <c r="F73" s="1193"/>
    </row>
    <row r="74" spans="1:6" ht="15.75">
      <c r="A74" s="767">
        <v>45585</v>
      </c>
      <c r="B74" s="409" t="s">
        <v>21</v>
      </c>
      <c r="C74" s="1226" t="s">
        <v>362</v>
      </c>
      <c r="D74" s="1227"/>
      <c r="E74" s="1228"/>
      <c r="F74" s="1193"/>
    </row>
    <row r="75" spans="1:6" ht="15.75">
      <c r="A75" s="767">
        <v>45586</v>
      </c>
      <c r="B75" s="409" t="s">
        <v>146</v>
      </c>
      <c r="C75" s="1226" t="s">
        <v>363</v>
      </c>
      <c r="D75" s="1227"/>
      <c r="E75" s="1228"/>
      <c r="F75" s="1193"/>
    </row>
    <row r="76" spans="1:6" ht="15.75">
      <c r="A76" s="767">
        <v>45587</v>
      </c>
      <c r="B76" s="769" t="s">
        <v>21</v>
      </c>
      <c r="C76" s="1226" t="s">
        <v>371</v>
      </c>
      <c r="D76" s="1227"/>
      <c r="E76" s="1229"/>
      <c r="F76" s="1209"/>
    </row>
    <row r="77" spans="1:6" ht="15.75">
      <c r="A77" s="767">
        <v>45588</v>
      </c>
      <c r="B77" s="769" t="s">
        <v>17</v>
      </c>
      <c r="C77" s="1226" t="s">
        <v>361</v>
      </c>
      <c r="D77" s="1227"/>
      <c r="E77" s="1228" t="s">
        <v>129</v>
      </c>
      <c r="F77" s="1193"/>
    </row>
    <row r="78" spans="1:6" ht="15.75">
      <c r="A78" s="767">
        <v>45589</v>
      </c>
      <c r="B78" s="409" t="s">
        <v>21</v>
      </c>
      <c r="C78" s="1226" t="s">
        <v>372</v>
      </c>
      <c r="D78" s="1227"/>
      <c r="E78" s="1229"/>
      <c r="F78" s="1209"/>
    </row>
    <row r="79" spans="1:6" ht="15.75">
      <c r="A79" s="767">
        <v>45590</v>
      </c>
      <c r="B79" s="409" t="s">
        <v>146</v>
      </c>
      <c r="C79" s="1226" t="s">
        <v>373</v>
      </c>
      <c r="D79" s="1227"/>
      <c r="E79" s="1228"/>
      <c r="F79" s="1193"/>
    </row>
    <row r="80" spans="1:6" ht="15.75">
      <c r="A80" s="767">
        <v>45591</v>
      </c>
      <c r="B80" s="769" t="s">
        <v>17</v>
      </c>
      <c r="C80" s="1226" t="s">
        <v>252</v>
      </c>
      <c r="D80" s="1227"/>
      <c r="E80" s="1228" t="s">
        <v>129</v>
      </c>
      <c r="F80" s="1193"/>
    </row>
    <row r="81" spans="1:6" ht="15.75">
      <c r="A81" s="767">
        <v>45592</v>
      </c>
      <c r="B81" s="769" t="s">
        <v>17</v>
      </c>
      <c r="C81" s="1226" t="s">
        <v>374</v>
      </c>
      <c r="D81" s="1227"/>
      <c r="E81" s="1228" t="s">
        <v>129</v>
      </c>
      <c r="F81" s="1193"/>
    </row>
    <row r="82" spans="1:6" ht="15.75">
      <c r="A82" s="767">
        <v>45593</v>
      </c>
      <c r="B82" s="409" t="s">
        <v>21</v>
      </c>
      <c r="C82" s="1226" t="s">
        <v>375</v>
      </c>
      <c r="D82" s="1227"/>
      <c r="E82" s="1228"/>
      <c r="F82" s="1193"/>
    </row>
    <row r="83" spans="1:6" ht="15.75">
      <c r="A83" s="767">
        <v>45594</v>
      </c>
      <c r="B83" s="409" t="s">
        <v>146</v>
      </c>
      <c r="C83" s="1226" t="s">
        <v>376</v>
      </c>
      <c r="D83" s="1227"/>
      <c r="E83" s="1228"/>
      <c r="F83" s="1193"/>
    </row>
    <row r="84" spans="1:6" ht="15.75">
      <c r="A84" s="767">
        <v>45595</v>
      </c>
      <c r="B84" s="769" t="s">
        <v>146</v>
      </c>
      <c r="C84" s="1226" t="s">
        <v>377</v>
      </c>
      <c r="D84" s="1227"/>
      <c r="E84" s="1228"/>
      <c r="F84" s="1193"/>
    </row>
    <row r="85" spans="1:6" ht="15.75">
      <c r="A85" s="767">
        <v>45596</v>
      </c>
      <c r="B85" s="769" t="s">
        <v>17</v>
      </c>
      <c r="C85" s="1221" t="s">
        <v>306</v>
      </c>
      <c r="D85" s="1222"/>
      <c r="E85" s="1223"/>
      <c r="F85" s="1197"/>
    </row>
    <row r="86" spans="1:6">
      <c r="A86" s="728"/>
      <c r="B86" s="776" t="s">
        <v>158</v>
      </c>
      <c r="C86" s="776" t="s">
        <v>255</v>
      </c>
      <c r="D86" s="777" t="s">
        <v>256</v>
      </c>
    </row>
    <row r="87" spans="1:6">
      <c r="A87" s="635" t="s">
        <v>257</v>
      </c>
      <c r="B87" s="731"/>
      <c r="C87" s="778" t="s">
        <v>378</v>
      </c>
      <c r="D87" s="733" t="s">
        <v>379</v>
      </c>
    </row>
    <row r="88" spans="1:6">
      <c r="A88" s="44" t="s">
        <v>260</v>
      </c>
      <c r="B88" s="734"/>
      <c r="C88" s="412"/>
      <c r="D88" s="413"/>
    </row>
    <row r="89" spans="1:6">
      <c r="A89" s="44" t="s">
        <v>262</v>
      </c>
      <c r="B89" s="779" t="s">
        <v>380</v>
      </c>
      <c r="C89" s="780" t="s">
        <v>381</v>
      </c>
      <c r="D89" s="781"/>
    </row>
    <row r="90" spans="1:6">
      <c r="A90" s="44" t="s">
        <v>264</v>
      </c>
      <c r="B90" s="779" t="s">
        <v>382</v>
      </c>
      <c r="C90" s="782" t="s">
        <v>383</v>
      </c>
      <c r="D90" s="780"/>
      <c r="E90" s="413"/>
    </row>
    <row r="91" spans="1:6">
      <c r="A91" s="44" t="s">
        <v>265</v>
      </c>
      <c r="B91" s="1224" t="s">
        <v>384</v>
      </c>
      <c r="C91" s="1163"/>
      <c r="D91" s="413"/>
      <c r="E91" s="44"/>
    </row>
    <row r="92" spans="1:6">
      <c r="A92" s="44" t="s">
        <v>385</v>
      </c>
      <c r="B92" s="779" t="s">
        <v>263</v>
      </c>
      <c r="C92" s="780" t="s">
        <v>386</v>
      </c>
      <c r="D92" s="413"/>
      <c r="E92" s="44"/>
    </row>
    <row r="93" spans="1:6">
      <c r="A93" s="44" t="s">
        <v>267</v>
      </c>
      <c r="B93" s="734"/>
      <c r="C93" s="780" t="s">
        <v>387</v>
      </c>
      <c r="D93" s="413"/>
      <c r="E93" s="44"/>
    </row>
    <row r="94" spans="1:6">
      <c r="A94" s="44" t="s">
        <v>269</v>
      </c>
      <c r="B94" s="734"/>
      <c r="C94" s="412"/>
      <c r="D94" s="781" t="s">
        <v>388</v>
      </c>
      <c r="E94" s="44"/>
    </row>
    <row r="95" spans="1:6">
      <c r="A95" s="44" t="s">
        <v>271</v>
      </c>
      <c r="B95" s="734"/>
      <c r="C95" s="780" t="s">
        <v>389</v>
      </c>
      <c r="D95" s="781" t="s">
        <v>259</v>
      </c>
      <c r="E95" s="44"/>
    </row>
    <row r="96" spans="1:6">
      <c r="A96" s="44" t="s">
        <v>272</v>
      </c>
      <c r="B96" s="779" t="s">
        <v>390</v>
      </c>
      <c r="C96" s="1252" t="s">
        <v>391</v>
      </c>
      <c r="D96" s="1253"/>
    </row>
    <row r="97" spans="1:4">
      <c r="A97" s="44" t="s">
        <v>275</v>
      </c>
      <c r="B97" s="779" t="s">
        <v>276</v>
      </c>
      <c r="C97" s="780" t="s">
        <v>392</v>
      </c>
      <c r="D97" s="413"/>
    </row>
    <row r="98" spans="1:4">
      <c r="A98" s="44" t="s">
        <v>278</v>
      </c>
      <c r="B98" s="734"/>
      <c r="C98" s="780" t="s">
        <v>393</v>
      </c>
      <c r="D98" s="413"/>
    </row>
    <row r="99" spans="1:4">
      <c r="A99" s="44" t="s">
        <v>394</v>
      </c>
      <c r="B99" s="734"/>
      <c r="C99" s="780" t="s">
        <v>393</v>
      </c>
      <c r="D99" s="413"/>
    </row>
    <row r="100" spans="1:4">
      <c r="A100" s="44" t="s">
        <v>284</v>
      </c>
      <c r="B100" s="779" t="s">
        <v>286</v>
      </c>
      <c r="C100" s="780" t="s">
        <v>393</v>
      </c>
      <c r="D100" s="413"/>
    </row>
    <row r="101" spans="1:4">
      <c r="A101" s="699" t="s">
        <v>285</v>
      </c>
      <c r="B101" s="783" t="s">
        <v>395</v>
      </c>
      <c r="C101" s="784" t="s">
        <v>396</v>
      </c>
      <c r="D101" s="423"/>
    </row>
    <row r="102" spans="1:4">
      <c r="A102" s="68" t="s">
        <v>288</v>
      </c>
      <c r="B102" s="736"/>
      <c r="C102" s="785" t="s">
        <v>393</v>
      </c>
      <c r="D102" s="426"/>
    </row>
  </sheetData>
  <mergeCells count="77">
    <mergeCell ref="C5:D5"/>
    <mergeCell ref="B6:F6"/>
    <mergeCell ref="C7:F7"/>
    <mergeCell ref="A40:F40"/>
    <mergeCell ref="A41:F41"/>
    <mergeCell ref="A42:F42"/>
    <mergeCell ref="A52:F52"/>
    <mergeCell ref="B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E80:F80"/>
    <mergeCell ref="C81:D81"/>
    <mergeCell ref="E81:F81"/>
    <mergeCell ref="C76:D76"/>
    <mergeCell ref="E76:F76"/>
    <mergeCell ref="C77:D77"/>
    <mergeCell ref="E77:F77"/>
    <mergeCell ref="C78:D78"/>
    <mergeCell ref="E78:F78"/>
    <mergeCell ref="C85:D85"/>
    <mergeCell ref="E85:F85"/>
    <mergeCell ref="B91:C91"/>
    <mergeCell ref="C96:D96"/>
    <mergeCell ref="A1:A4"/>
    <mergeCell ref="A6:A8"/>
    <mergeCell ref="B1:F4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</mergeCells>
  <pageMargins left="0" right="0" top="0" bottom="0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3"/>
  <sheetViews>
    <sheetView topLeftCell="A103" workbookViewId="0">
      <selection activeCell="B88" sqref="B88"/>
    </sheetView>
  </sheetViews>
  <sheetFormatPr baseColWidth="10" defaultColWidth="11" defaultRowHeight="15"/>
  <cols>
    <col min="1" max="1" width="27.42578125" customWidth="1"/>
    <col min="2" max="2" width="22.28515625" customWidth="1"/>
    <col min="3" max="3" width="10.5703125" customWidth="1"/>
    <col min="4" max="4" width="13.42578125" customWidth="1"/>
    <col min="6" max="6" width="7.28515625" customWidth="1"/>
  </cols>
  <sheetData>
    <row r="1" spans="1:6">
      <c r="A1" s="1083"/>
      <c r="B1" s="1090" t="s">
        <v>397</v>
      </c>
      <c r="C1" s="1094"/>
      <c r="D1" s="1094"/>
      <c r="E1" s="1094"/>
      <c r="F1" s="1094"/>
    </row>
    <row r="2" spans="1:6">
      <c r="A2" s="1083"/>
      <c r="B2" s="1094"/>
      <c r="C2" s="1094"/>
      <c r="D2" s="1094"/>
      <c r="E2" s="1094"/>
      <c r="F2" s="1094"/>
    </row>
    <row r="3" spans="1:6">
      <c r="A3" s="1083"/>
      <c r="B3" s="1094"/>
      <c r="C3" s="1094"/>
      <c r="D3" s="1094"/>
      <c r="E3" s="1094"/>
      <c r="F3" s="1094"/>
    </row>
    <row r="4" spans="1:6">
      <c r="A4" s="1083"/>
      <c r="B4" s="1094"/>
      <c r="C4" s="1094"/>
      <c r="D4" s="1094"/>
      <c r="E4" s="1094"/>
      <c r="F4" s="1094"/>
    </row>
    <row r="5" spans="1:6" ht="15.75">
      <c r="A5" s="431"/>
      <c r="B5" s="431"/>
      <c r="C5" s="1126">
        <v>2024</v>
      </c>
      <c r="D5" s="1126"/>
      <c r="E5" s="2"/>
      <c r="F5" s="432"/>
    </row>
    <row r="6" spans="1:6" ht="15.75">
      <c r="A6" s="1134" t="s">
        <v>2</v>
      </c>
      <c r="B6" s="1138" t="s">
        <v>40</v>
      </c>
      <c r="C6" s="1139"/>
      <c r="D6" s="1139"/>
      <c r="E6" s="1139"/>
      <c r="F6" s="1141"/>
    </row>
    <row r="7" spans="1:6" ht="15.75">
      <c r="A7" s="1135"/>
      <c r="B7" s="737" t="s">
        <v>5</v>
      </c>
      <c r="C7" s="1142" t="s">
        <v>6</v>
      </c>
      <c r="D7" s="1143"/>
      <c r="E7" s="1143"/>
      <c r="F7" s="1242"/>
    </row>
    <row r="8" spans="1:6" ht="15.75">
      <c r="A8" s="1157"/>
      <c r="B8" s="738" t="s">
        <v>398</v>
      </c>
      <c r="C8" s="739" t="s">
        <v>8</v>
      </c>
      <c r="D8" s="739" t="s">
        <v>9</v>
      </c>
      <c r="E8" s="739" t="s">
        <v>10</v>
      </c>
      <c r="F8" s="740" t="s">
        <v>7</v>
      </c>
    </row>
    <row r="9" spans="1:6" ht="15.75">
      <c r="A9" s="589">
        <v>45597</v>
      </c>
      <c r="B9" s="679" t="s">
        <v>295</v>
      </c>
      <c r="C9" s="741" t="s">
        <v>350</v>
      </c>
      <c r="D9" s="742" t="s">
        <v>14</v>
      </c>
      <c r="E9" s="742" t="s">
        <v>137</v>
      </c>
      <c r="F9" s="743"/>
    </row>
    <row r="10" spans="1:6" ht="15.75">
      <c r="A10" s="589">
        <v>45598</v>
      </c>
      <c r="B10" s="670" t="s">
        <v>184</v>
      </c>
      <c r="C10" s="478" t="s">
        <v>42</v>
      </c>
      <c r="D10" s="652" t="s">
        <v>129</v>
      </c>
      <c r="E10" s="652" t="s">
        <v>109</v>
      </c>
      <c r="F10" s="744" t="s">
        <v>23</v>
      </c>
    </row>
    <row r="11" spans="1:6" ht="15.75">
      <c r="A11" s="589">
        <v>45599</v>
      </c>
      <c r="B11" s="670" t="s">
        <v>399</v>
      </c>
      <c r="C11" s="478" t="s">
        <v>42</v>
      </c>
      <c r="D11" s="652" t="s">
        <v>400</v>
      </c>
      <c r="E11" s="652" t="s">
        <v>14</v>
      </c>
      <c r="F11" s="744" t="s">
        <v>23</v>
      </c>
    </row>
    <row r="12" spans="1:6" ht="15.75">
      <c r="A12" s="589">
        <v>45600</v>
      </c>
      <c r="B12" s="670" t="s">
        <v>135</v>
      </c>
      <c r="C12" s="478" t="s">
        <v>42</v>
      </c>
      <c r="D12" s="652" t="s">
        <v>129</v>
      </c>
      <c r="E12" s="652" t="s">
        <v>14</v>
      </c>
      <c r="F12" s="744" t="s">
        <v>146</v>
      </c>
    </row>
    <row r="13" spans="1:6" ht="15.75">
      <c r="A13" s="589">
        <v>45601</v>
      </c>
      <c r="B13" s="678" t="s">
        <v>21</v>
      </c>
      <c r="C13" s="478" t="s">
        <v>110</v>
      </c>
      <c r="D13" s="652" t="s">
        <v>129</v>
      </c>
      <c r="E13" s="652" t="s">
        <v>14</v>
      </c>
      <c r="F13" s="744"/>
    </row>
    <row r="14" spans="1:6" ht="15.75">
      <c r="A14" s="589">
        <v>45602</v>
      </c>
      <c r="B14" s="670" t="s">
        <v>179</v>
      </c>
      <c r="C14" s="478" t="s">
        <v>42</v>
      </c>
      <c r="D14" s="652" t="s">
        <v>129</v>
      </c>
      <c r="E14" s="652" t="s">
        <v>14</v>
      </c>
      <c r="F14" s="744" t="s">
        <v>146</v>
      </c>
    </row>
    <row r="15" spans="1:6" ht="15.75">
      <c r="A15" s="589">
        <v>45603</v>
      </c>
      <c r="B15" s="670" t="s">
        <v>134</v>
      </c>
      <c r="C15" s="478" t="s">
        <v>42</v>
      </c>
      <c r="D15" s="652" t="s">
        <v>129</v>
      </c>
      <c r="E15" s="652" t="s">
        <v>14</v>
      </c>
      <c r="F15" s="744" t="s">
        <v>93</v>
      </c>
    </row>
    <row r="16" spans="1:6" ht="15.75">
      <c r="A16" s="589">
        <v>45604</v>
      </c>
      <c r="B16" s="674" t="s">
        <v>17</v>
      </c>
      <c r="C16" s="481" t="s">
        <v>350</v>
      </c>
      <c r="D16" s="649" t="s">
        <v>14</v>
      </c>
      <c r="E16" s="649" t="s">
        <v>137</v>
      </c>
      <c r="F16" s="745"/>
    </row>
    <row r="17" spans="1:6" ht="15.75">
      <c r="A17" s="589">
        <v>45605</v>
      </c>
      <c r="B17" s="678" t="s">
        <v>21</v>
      </c>
      <c r="C17" s="478" t="s">
        <v>42</v>
      </c>
      <c r="D17" s="652" t="s">
        <v>17</v>
      </c>
      <c r="E17" s="652" t="s">
        <v>109</v>
      </c>
      <c r="F17" s="744"/>
    </row>
    <row r="18" spans="1:6" ht="15.75">
      <c r="A18" s="589">
        <v>45606</v>
      </c>
      <c r="B18" s="670" t="s">
        <v>179</v>
      </c>
      <c r="C18" s="478" t="s">
        <v>42</v>
      </c>
      <c r="D18" s="652" t="s">
        <v>21</v>
      </c>
      <c r="E18" s="652" t="s">
        <v>17</v>
      </c>
      <c r="F18" s="744"/>
    </row>
    <row r="19" spans="1:6" ht="15.75">
      <c r="A19" s="589">
        <v>45607</v>
      </c>
      <c r="B19" s="670" t="s">
        <v>134</v>
      </c>
      <c r="C19" s="478" t="s">
        <v>42</v>
      </c>
      <c r="D19" s="652" t="s">
        <v>17</v>
      </c>
      <c r="E19" s="652" t="s">
        <v>14</v>
      </c>
      <c r="F19" s="744"/>
    </row>
    <row r="20" spans="1:6" ht="15.75">
      <c r="A20" s="589">
        <v>45608</v>
      </c>
      <c r="B20" s="670" t="s">
        <v>135</v>
      </c>
      <c r="C20" s="478" t="s">
        <v>42</v>
      </c>
      <c r="D20" s="652" t="s">
        <v>21</v>
      </c>
      <c r="E20" s="652" t="s">
        <v>14</v>
      </c>
      <c r="F20" s="744" t="s">
        <v>400</v>
      </c>
    </row>
    <row r="21" spans="1:6" ht="15.75">
      <c r="A21" s="589">
        <v>45609</v>
      </c>
      <c r="B21" s="678" t="s">
        <v>180</v>
      </c>
      <c r="C21" s="478" t="s">
        <v>42</v>
      </c>
      <c r="D21" s="652" t="s">
        <v>400</v>
      </c>
      <c r="E21" s="652" t="s">
        <v>14</v>
      </c>
      <c r="F21" s="744" t="s">
        <v>93</v>
      </c>
    </row>
    <row r="22" spans="1:6" ht="15.75">
      <c r="A22" s="589">
        <v>45610</v>
      </c>
      <c r="B22" s="670" t="s">
        <v>179</v>
      </c>
      <c r="C22" s="478" t="s">
        <v>42</v>
      </c>
      <c r="D22" s="652" t="s">
        <v>350</v>
      </c>
      <c r="E22" s="652" t="s">
        <v>14</v>
      </c>
      <c r="F22" s="744"/>
    </row>
    <row r="23" spans="1:6" ht="15.75">
      <c r="A23" s="589">
        <v>45611</v>
      </c>
      <c r="B23" s="674" t="s">
        <v>401</v>
      </c>
      <c r="C23" s="481" t="s">
        <v>400</v>
      </c>
      <c r="D23" s="649" t="s">
        <v>14</v>
      </c>
      <c r="E23" s="649" t="s">
        <v>137</v>
      </c>
      <c r="F23" s="745" t="s">
        <v>350</v>
      </c>
    </row>
    <row r="24" spans="1:6" ht="15.75">
      <c r="A24" s="589">
        <v>45612</v>
      </c>
      <c r="B24" s="670" t="s">
        <v>402</v>
      </c>
      <c r="C24" s="478" t="s">
        <v>42</v>
      </c>
      <c r="D24" s="652" t="s">
        <v>181</v>
      </c>
      <c r="E24" s="652" t="s">
        <v>109</v>
      </c>
      <c r="F24" s="744"/>
    </row>
    <row r="25" spans="1:6" ht="15.75">
      <c r="A25" s="589">
        <v>45613</v>
      </c>
      <c r="B25" s="678" t="s">
        <v>180</v>
      </c>
      <c r="C25" s="478" t="s">
        <v>42</v>
      </c>
      <c r="D25" s="652" t="s">
        <v>403</v>
      </c>
      <c r="E25" s="652" t="s">
        <v>14</v>
      </c>
      <c r="F25" s="744"/>
    </row>
    <row r="26" spans="1:6" ht="15.75">
      <c r="A26" s="589">
        <v>45614</v>
      </c>
      <c r="B26" s="670" t="s">
        <v>179</v>
      </c>
      <c r="C26" s="478" t="s">
        <v>42</v>
      </c>
      <c r="D26" s="652" t="s">
        <v>181</v>
      </c>
      <c r="E26" s="652" t="s">
        <v>14</v>
      </c>
      <c r="F26" s="744"/>
    </row>
    <row r="27" spans="1:6" ht="15.75">
      <c r="A27" s="589">
        <v>45615</v>
      </c>
      <c r="B27" s="670" t="s">
        <v>134</v>
      </c>
      <c r="C27" s="478" t="s">
        <v>42</v>
      </c>
      <c r="D27" s="652" t="s">
        <v>17</v>
      </c>
      <c r="E27" s="652" t="s">
        <v>14</v>
      </c>
      <c r="F27" s="744"/>
    </row>
    <row r="28" spans="1:6" ht="15.75">
      <c r="A28" s="589">
        <v>45616</v>
      </c>
      <c r="B28" s="670" t="s">
        <v>135</v>
      </c>
      <c r="C28" s="478" t="s">
        <v>42</v>
      </c>
      <c r="D28" s="652" t="s">
        <v>400</v>
      </c>
      <c r="E28" s="652" t="s">
        <v>14</v>
      </c>
      <c r="F28" s="744"/>
    </row>
    <row r="29" spans="1:6" ht="15.75">
      <c r="A29" s="589">
        <v>45617</v>
      </c>
      <c r="B29" s="678" t="s">
        <v>180</v>
      </c>
      <c r="C29" s="478" t="s">
        <v>42</v>
      </c>
      <c r="D29" s="652" t="s">
        <v>17</v>
      </c>
      <c r="E29" s="652" t="s">
        <v>14</v>
      </c>
      <c r="F29" s="744" t="s">
        <v>404</v>
      </c>
    </row>
    <row r="30" spans="1:6" ht="15.75">
      <c r="A30" s="589">
        <v>45618</v>
      </c>
      <c r="B30" s="674" t="s">
        <v>405</v>
      </c>
      <c r="C30" s="481" t="s">
        <v>21</v>
      </c>
      <c r="D30" s="649" t="s">
        <v>14</v>
      </c>
      <c r="E30" s="649" t="s">
        <v>137</v>
      </c>
      <c r="F30" s="745" t="s">
        <v>350</v>
      </c>
    </row>
    <row r="31" spans="1:6" ht="15.75">
      <c r="A31" s="589">
        <v>45619</v>
      </c>
      <c r="B31" s="670" t="s">
        <v>130</v>
      </c>
      <c r="C31" s="478" t="s">
        <v>42</v>
      </c>
      <c r="D31" s="652" t="s">
        <v>129</v>
      </c>
      <c r="E31" s="652" t="s">
        <v>109</v>
      </c>
      <c r="F31" s="744" t="s">
        <v>93</v>
      </c>
    </row>
    <row r="32" spans="1:6" ht="15.75">
      <c r="A32" s="589">
        <v>45620</v>
      </c>
      <c r="B32" s="670" t="s">
        <v>135</v>
      </c>
      <c r="C32" s="478" t="s">
        <v>21</v>
      </c>
      <c r="D32" s="652" t="s">
        <v>129</v>
      </c>
      <c r="E32" s="652" t="s">
        <v>14</v>
      </c>
      <c r="F32" s="744" t="s">
        <v>404</v>
      </c>
    </row>
    <row r="33" spans="1:6" ht="15.75">
      <c r="A33" s="589">
        <v>45621</v>
      </c>
      <c r="B33" s="678" t="s">
        <v>180</v>
      </c>
      <c r="C33" s="478" t="s">
        <v>42</v>
      </c>
      <c r="D33" s="652" t="s">
        <v>403</v>
      </c>
      <c r="E33" s="652" t="s">
        <v>14</v>
      </c>
      <c r="F33" s="744" t="s">
        <v>404</v>
      </c>
    </row>
    <row r="34" spans="1:6" ht="15.75">
      <c r="A34" s="589">
        <v>45622</v>
      </c>
      <c r="B34" s="670" t="s">
        <v>179</v>
      </c>
      <c r="C34" s="478" t="s">
        <v>42</v>
      </c>
      <c r="D34" s="652" t="s">
        <v>129</v>
      </c>
      <c r="E34" s="652" t="s">
        <v>21</v>
      </c>
      <c r="F34" s="744" t="s">
        <v>406</v>
      </c>
    </row>
    <row r="35" spans="1:6" ht="15.75">
      <c r="A35" s="589">
        <v>45623</v>
      </c>
      <c r="B35" s="670" t="s">
        <v>134</v>
      </c>
      <c r="C35" s="478" t="s">
        <v>42</v>
      </c>
      <c r="D35" s="652" t="s">
        <v>129</v>
      </c>
      <c r="E35" s="652" t="s">
        <v>161</v>
      </c>
      <c r="F35" s="744"/>
    </row>
    <row r="36" spans="1:6" ht="15.75">
      <c r="A36" s="589">
        <v>45624</v>
      </c>
      <c r="B36" s="670" t="s">
        <v>135</v>
      </c>
      <c r="C36" s="478" t="s">
        <v>42</v>
      </c>
      <c r="D36" s="652" t="s">
        <v>129</v>
      </c>
      <c r="E36" s="652" t="s">
        <v>161</v>
      </c>
      <c r="F36" s="744" t="s">
        <v>404</v>
      </c>
    </row>
    <row r="37" spans="1:6" ht="15.75">
      <c r="A37" s="589">
        <v>45625</v>
      </c>
      <c r="B37" s="679" t="s">
        <v>407</v>
      </c>
      <c r="C37" s="481" t="s">
        <v>400</v>
      </c>
      <c r="D37" s="649" t="s">
        <v>14</v>
      </c>
      <c r="E37" s="649" t="s">
        <v>137</v>
      </c>
      <c r="F37" s="745" t="s">
        <v>109</v>
      </c>
    </row>
    <row r="38" spans="1:6" ht="15.75">
      <c r="A38" s="746">
        <v>45626</v>
      </c>
      <c r="B38" s="143" t="s">
        <v>408</v>
      </c>
      <c r="C38" s="483" t="s">
        <v>42</v>
      </c>
      <c r="D38" s="747" t="s">
        <v>129</v>
      </c>
      <c r="E38" s="747" t="s">
        <v>109</v>
      </c>
      <c r="F38" s="748"/>
    </row>
    <row r="39" spans="1:6" ht="15.75">
      <c r="A39" s="749"/>
      <c r="B39" s="750"/>
      <c r="C39" s="600"/>
      <c r="D39" s="598"/>
      <c r="E39" s="598"/>
      <c r="F39" s="599"/>
    </row>
    <row r="40" spans="1:6">
      <c r="A40" s="1254">
        <v>1</v>
      </c>
      <c r="B40" s="1255"/>
      <c r="C40" s="1255"/>
      <c r="D40" s="1255"/>
      <c r="E40" s="1255"/>
      <c r="F40" s="1255"/>
    </row>
    <row r="41" spans="1:6">
      <c r="A41" s="1147"/>
      <c r="B41" s="1147"/>
      <c r="C41" s="1147"/>
      <c r="D41" s="1147"/>
      <c r="E41" s="1147"/>
      <c r="F41" s="1147"/>
    </row>
    <row r="42" spans="1:6">
      <c r="A42" s="1147"/>
      <c r="B42" s="1147"/>
      <c r="C42" s="1147"/>
      <c r="D42" s="1147"/>
      <c r="E42" s="1147"/>
      <c r="F42" s="1147"/>
    </row>
    <row r="49" spans="1:6">
      <c r="F49" s="195"/>
    </row>
    <row r="50" spans="1:6">
      <c r="F50" s="195"/>
    </row>
    <row r="53" spans="1:6" ht="21">
      <c r="A53" s="1102" t="s">
        <v>409</v>
      </c>
      <c r="B53" s="1102"/>
      <c r="C53" s="1102"/>
      <c r="D53" s="1102"/>
      <c r="E53" s="1102"/>
      <c r="F53" s="1102"/>
    </row>
    <row r="54" spans="1:6" ht="21">
      <c r="B54" s="1235" t="s">
        <v>4</v>
      </c>
      <c r="C54" s="1236"/>
      <c r="D54" s="1236"/>
      <c r="E54" s="1236"/>
      <c r="F54" s="1237"/>
    </row>
    <row r="55" spans="1:6" ht="21">
      <c r="B55" s="751" t="s">
        <v>5</v>
      </c>
      <c r="C55" s="1271" t="s">
        <v>6</v>
      </c>
      <c r="D55" s="1272"/>
      <c r="E55" s="1248" t="s">
        <v>128</v>
      </c>
      <c r="F55" s="1249"/>
    </row>
    <row r="56" spans="1:6" ht="15.75">
      <c r="A56" s="589">
        <v>45597</v>
      </c>
      <c r="B56" s="679" t="s">
        <v>21</v>
      </c>
      <c r="C56" s="752" t="s">
        <v>137</v>
      </c>
      <c r="D56" s="753" t="s">
        <v>230</v>
      </c>
      <c r="E56" s="1268"/>
      <c r="F56" s="1269"/>
    </row>
    <row r="57" spans="1:6" ht="15.75">
      <c r="A57" s="589">
        <v>45598</v>
      </c>
      <c r="B57" s="670" t="s">
        <v>146</v>
      </c>
      <c r="C57" s="671" t="s">
        <v>109</v>
      </c>
      <c r="D57" s="673" t="s">
        <v>17</v>
      </c>
      <c r="E57" s="1258"/>
      <c r="F57" s="1259"/>
    </row>
    <row r="58" spans="1:6" ht="15.75">
      <c r="A58" s="589">
        <v>45599</v>
      </c>
      <c r="B58" s="670" t="s">
        <v>21</v>
      </c>
      <c r="C58" s="671" t="s">
        <v>110</v>
      </c>
      <c r="D58" s="673" t="s">
        <v>17</v>
      </c>
      <c r="E58" s="1270" t="s">
        <v>42</v>
      </c>
      <c r="F58" s="1206"/>
    </row>
    <row r="59" spans="1:6" ht="15.75">
      <c r="A59" s="589">
        <v>45600</v>
      </c>
      <c r="B59" s="670" t="s">
        <v>17</v>
      </c>
      <c r="C59" s="671" t="s">
        <v>403</v>
      </c>
      <c r="D59" s="673" t="s">
        <v>21</v>
      </c>
      <c r="E59" s="1258"/>
      <c r="F59" s="1259"/>
    </row>
    <row r="60" spans="1:6" ht="15.75">
      <c r="A60" s="589">
        <v>45601</v>
      </c>
      <c r="B60" s="678" t="s">
        <v>21</v>
      </c>
      <c r="C60" s="671" t="s">
        <v>109</v>
      </c>
      <c r="D60" s="673" t="s">
        <v>146</v>
      </c>
      <c r="E60" s="1205"/>
      <c r="F60" s="1206"/>
    </row>
    <row r="61" spans="1:6" ht="15.75">
      <c r="A61" s="589">
        <v>45602</v>
      </c>
      <c r="B61" s="670" t="s">
        <v>146</v>
      </c>
      <c r="C61" s="671" t="s">
        <v>130</v>
      </c>
      <c r="D61" s="673" t="s">
        <v>17</v>
      </c>
      <c r="E61" s="1258" t="s">
        <v>42</v>
      </c>
      <c r="F61" s="1259"/>
    </row>
    <row r="62" spans="1:6" ht="15.75">
      <c r="A62" s="589">
        <v>45603</v>
      </c>
      <c r="B62" s="670" t="s">
        <v>130</v>
      </c>
      <c r="C62" s="671" t="s">
        <v>161</v>
      </c>
      <c r="D62" s="673" t="s">
        <v>181</v>
      </c>
      <c r="E62" s="1258"/>
      <c r="F62" s="1259"/>
    </row>
    <row r="63" spans="1:6" ht="15.75">
      <c r="A63" s="589">
        <v>45604</v>
      </c>
      <c r="B63" s="674" t="s">
        <v>17</v>
      </c>
      <c r="C63" s="675" t="s">
        <v>137</v>
      </c>
      <c r="D63" s="754" t="s">
        <v>403</v>
      </c>
      <c r="E63" s="1260"/>
      <c r="F63" s="1261"/>
    </row>
    <row r="64" spans="1:6" ht="15.75">
      <c r="A64" s="589">
        <v>45605</v>
      </c>
      <c r="B64" s="678" t="s">
        <v>21</v>
      </c>
      <c r="C64" s="671" t="s">
        <v>109</v>
      </c>
      <c r="D64" s="673" t="s">
        <v>17</v>
      </c>
      <c r="E64" s="1258"/>
      <c r="F64" s="1259"/>
    </row>
    <row r="65" spans="1:6" ht="15.75">
      <c r="A65" s="589">
        <v>45606</v>
      </c>
      <c r="B65" s="670" t="s">
        <v>146</v>
      </c>
      <c r="C65" s="671" t="s">
        <v>17</v>
      </c>
      <c r="D65" s="673" t="s">
        <v>110</v>
      </c>
      <c r="E65" s="1205"/>
      <c r="F65" s="1206"/>
    </row>
    <row r="66" spans="1:6" ht="15.75">
      <c r="A66" s="589">
        <v>45607</v>
      </c>
      <c r="B66" s="670" t="s">
        <v>130</v>
      </c>
      <c r="C66" s="671" t="s">
        <v>109</v>
      </c>
      <c r="D66" s="673" t="s">
        <v>17</v>
      </c>
      <c r="E66" s="1258" t="s">
        <v>42</v>
      </c>
      <c r="F66" s="1259"/>
    </row>
    <row r="67" spans="1:6" ht="15.75">
      <c r="A67" s="589">
        <v>45608</v>
      </c>
      <c r="B67" s="670" t="s">
        <v>17</v>
      </c>
      <c r="C67" s="671" t="s">
        <v>21</v>
      </c>
      <c r="D67" s="673" t="s">
        <v>230</v>
      </c>
      <c r="E67" s="1258"/>
      <c r="F67" s="1259"/>
    </row>
    <row r="68" spans="1:6" ht="15.75">
      <c r="A68" s="589">
        <v>45609</v>
      </c>
      <c r="B68" s="678" t="s">
        <v>21</v>
      </c>
      <c r="C68" s="671" t="s">
        <v>109</v>
      </c>
      <c r="D68" s="673" t="s">
        <v>146</v>
      </c>
      <c r="E68" s="1258"/>
      <c r="F68" s="1259"/>
    </row>
    <row r="69" spans="1:6" ht="15.75">
      <c r="A69" s="589">
        <v>45610</v>
      </c>
      <c r="B69" s="670" t="s">
        <v>146</v>
      </c>
      <c r="C69" s="671" t="s">
        <v>161</v>
      </c>
      <c r="D69" s="673" t="s">
        <v>181</v>
      </c>
      <c r="E69" s="1258"/>
      <c r="F69" s="1259"/>
    </row>
    <row r="70" spans="1:6" ht="15.75">
      <c r="A70" s="589">
        <v>45611</v>
      </c>
      <c r="B70" s="674" t="s">
        <v>130</v>
      </c>
      <c r="C70" s="675" t="s">
        <v>137</v>
      </c>
      <c r="D70" s="754" t="s">
        <v>185</v>
      </c>
      <c r="E70" s="1260"/>
      <c r="F70" s="1261"/>
    </row>
    <row r="71" spans="1:6" ht="15.75">
      <c r="A71" s="589">
        <v>45612</v>
      </c>
      <c r="B71" s="670" t="s">
        <v>17</v>
      </c>
      <c r="C71" s="671" t="s">
        <v>109</v>
      </c>
      <c r="D71" s="673" t="s">
        <v>403</v>
      </c>
      <c r="E71" s="1258" t="s">
        <v>410</v>
      </c>
      <c r="F71" s="1259"/>
    </row>
    <row r="72" spans="1:6" ht="15.75">
      <c r="A72" s="589">
        <v>45613</v>
      </c>
      <c r="B72" s="678" t="s">
        <v>17</v>
      </c>
      <c r="C72" s="671" t="s">
        <v>110</v>
      </c>
      <c r="D72" s="673" t="s">
        <v>146</v>
      </c>
      <c r="E72" s="1258" t="s">
        <v>42</v>
      </c>
      <c r="F72" s="1259"/>
    </row>
    <row r="73" spans="1:6" ht="15.75">
      <c r="A73" s="589">
        <v>45614</v>
      </c>
      <c r="B73" s="670" t="s">
        <v>146</v>
      </c>
      <c r="C73" s="680" t="s">
        <v>109</v>
      </c>
      <c r="D73" s="755" t="s">
        <v>110</v>
      </c>
      <c r="E73" s="1258"/>
      <c r="F73" s="1259"/>
    </row>
    <row r="74" spans="1:6" ht="15.75">
      <c r="A74" s="589">
        <v>45615</v>
      </c>
      <c r="B74" s="670" t="s">
        <v>130</v>
      </c>
      <c r="C74" s="671" t="s">
        <v>17</v>
      </c>
      <c r="D74" s="673" t="s">
        <v>230</v>
      </c>
      <c r="E74" s="1258"/>
      <c r="F74" s="1259"/>
    </row>
    <row r="75" spans="1:6" ht="15.75">
      <c r="A75" s="589">
        <v>45616</v>
      </c>
      <c r="B75" s="670" t="s">
        <v>17</v>
      </c>
      <c r="C75" s="671" t="s">
        <v>185</v>
      </c>
      <c r="D75" s="673" t="s">
        <v>403</v>
      </c>
      <c r="E75" s="1258"/>
      <c r="F75" s="1259"/>
    </row>
    <row r="76" spans="1:6" ht="15.75">
      <c r="A76" s="589">
        <v>45617</v>
      </c>
      <c r="B76" s="678" t="s">
        <v>21</v>
      </c>
      <c r="C76" s="671" t="s">
        <v>161</v>
      </c>
      <c r="D76" s="673" t="s">
        <v>181</v>
      </c>
      <c r="E76" s="1258" t="s">
        <v>17</v>
      </c>
      <c r="F76" s="1259"/>
    </row>
    <row r="77" spans="1:6" ht="15.75">
      <c r="A77" s="589">
        <v>45618</v>
      </c>
      <c r="B77" s="674" t="s">
        <v>146</v>
      </c>
      <c r="C77" s="675" t="s">
        <v>137</v>
      </c>
      <c r="D77" s="754" t="s">
        <v>230</v>
      </c>
      <c r="E77" s="1264"/>
      <c r="F77" s="1265"/>
    </row>
    <row r="78" spans="1:6" ht="15.75">
      <c r="A78" s="589">
        <v>45619</v>
      </c>
      <c r="B78" s="670" t="s">
        <v>130</v>
      </c>
      <c r="C78" s="671" t="s">
        <v>109</v>
      </c>
      <c r="D78" s="673" t="s">
        <v>185</v>
      </c>
      <c r="E78" s="1258" t="s">
        <v>42</v>
      </c>
      <c r="F78" s="1259"/>
    </row>
    <row r="79" spans="1:6" ht="15.75">
      <c r="A79" s="589">
        <v>45620</v>
      </c>
      <c r="B79" s="670" t="s">
        <v>17</v>
      </c>
      <c r="C79" s="671" t="s">
        <v>403</v>
      </c>
      <c r="D79" s="673" t="s">
        <v>21</v>
      </c>
      <c r="E79" s="1266"/>
      <c r="F79" s="1267"/>
    </row>
    <row r="80" spans="1:6" ht="15.75">
      <c r="A80" s="589">
        <v>45621</v>
      </c>
      <c r="B80" s="678" t="s">
        <v>21</v>
      </c>
      <c r="C80" s="671" t="s">
        <v>109</v>
      </c>
      <c r="D80" s="673" t="s">
        <v>146</v>
      </c>
      <c r="E80" s="1258"/>
      <c r="F80" s="1259"/>
    </row>
    <row r="81" spans="1:6" ht="15.75">
      <c r="A81" s="589">
        <v>45622</v>
      </c>
      <c r="B81" s="670" t="s">
        <v>146</v>
      </c>
      <c r="C81" s="671" t="s">
        <v>130</v>
      </c>
      <c r="D81" s="673" t="s">
        <v>230</v>
      </c>
      <c r="E81" s="1258" t="s">
        <v>129</v>
      </c>
      <c r="F81" s="1259"/>
    </row>
    <row r="82" spans="1:6" ht="15.75">
      <c r="A82" s="589">
        <v>45623</v>
      </c>
      <c r="B82" s="670" t="s">
        <v>130</v>
      </c>
      <c r="C82" s="671" t="s">
        <v>185</v>
      </c>
      <c r="D82" s="673" t="s">
        <v>110</v>
      </c>
      <c r="E82" s="1258"/>
      <c r="F82" s="1259"/>
    </row>
    <row r="83" spans="1:6" ht="15.75">
      <c r="A83" s="589">
        <v>45624</v>
      </c>
      <c r="B83" s="670" t="s">
        <v>17</v>
      </c>
      <c r="C83" s="671" t="s">
        <v>161</v>
      </c>
      <c r="D83" s="673" t="s">
        <v>185</v>
      </c>
      <c r="E83" s="1258" t="s">
        <v>110</v>
      </c>
      <c r="F83" s="1259"/>
    </row>
    <row r="84" spans="1:6" ht="15.75">
      <c r="A84" s="589">
        <v>45625</v>
      </c>
      <c r="B84" s="756" t="s">
        <v>21</v>
      </c>
      <c r="C84" s="675" t="s">
        <v>137</v>
      </c>
      <c r="D84" s="754" t="s">
        <v>230</v>
      </c>
      <c r="E84" s="1260"/>
      <c r="F84" s="1261"/>
    </row>
    <row r="85" spans="1:6" ht="15.75">
      <c r="A85" s="589">
        <v>45626</v>
      </c>
      <c r="B85" s="58" t="s">
        <v>146</v>
      </c>
      <c r="C85" s="724" t="s">
        <v>109</v>
      </c>
      <c r="D85" s="757" t="s">
        <v>110</v>
      </c>
      <c r="E85" s="1262"/>
      <c r="F85" s="1263"/>
    </row>
    <row r="86" spans="1:6">
      <c r="A86" s="728"/>
      <c r="B86" s="729" t="s">
        <v>158</v>
      </c>
      <c r="C86" s="729" t="s">
        <v>255</v>
      </c>
      <c r="D86" s="730" t="s">
        <v>256</v>
      </c>
      <c r="E86" s="1256"/>
      <c r="F86" s="1257"/>
    </row>
    <row r="87" spans="1:6">
      <c r="A87" s="635" t="s">
        <v>257</v>
      </c>
      <c r="B87" s="731"/>
      <c r="C87" s="732"/>
      <c r="D87" s="733" t="s">
        <v>411</v>
      </c>
    </row>
    <row r="88" spans="1:6">
      <c r="A88" s="44" t="s">
        <v>260</v>
      </c>
      <c r="B88" s="695" t="s">
        <v>412</v>
      </c>
      <c r="C88" s="698"/>
      <c r="D88" s="696" t="s">
        <v>413</v>
      </c>
    </row>
    <row r="89" spans="1:6">
      <c r="A89" s="44" t="s">
        <v>262</v>
      </c>
      <c r="B89" s="695" t="s">
        <v>414</v>
      </c>
      <c r="C89" s="698" t="s">
        <v>415</v>
      </c>
      <c r="D89" s="696"/>
    </row>
    <row r="90" spans="1:6">
      <c r="A90" s="44" t="s">
        <v>264</v>
      </c>
      <c r="B90" s="695" t="s">
        <v>416</v>
      </c>
      <c r="C90" s="698" t="s">
        <v>415</v>
      </c>
      <c r="D90" s="696"/>
    </row>
    <row r="91" spans="1:6">
      <c r="A91" s="44" t="s">
        <v>265</v>
      </c>
      <c r="B91" s="692" t="s">
        <v>417</v>
      </c>
      <c r="C91" s="695"/>
      <c r="D91" s="696" t="s">
        <v>418</v>
      </c>
    </row>
    <row r="92" spans="1:6">
      <c r="A92" s="63" t="s">
        <v>419</v>
      </c>
      <c r="B92" s="695" t="s">
        <v>420</v>
      </c>
      <c r="C92" s="698" t="s">
        <v>421</v>
      </c>
      <c r="D92" s="696"/>
    </row>
    <row r="93" spans="1:6">
      <c r="A93" s="44" t="s">
        <v>267</v>
      </c>
      <c r="B93" s="695" t="s">
        <v>422</v>
      </c>
      <c r="C93" s="698"/>
      <c r="D93" s="696" t="s">
        <v>423</v>
      </c>
    </row>
    <row r="94" spans="1:6">
      <c r="A94" s="44" t="s">
        <v>269</v>
      </c>
      <c r="B94" s="695"/>
      <c r="C94" s="698"/>
      <c r="D94" s="696" t="s">
        <v>424</v>
      </c>
    </row>
    <row r="95" spans="1:6">
      <c r="A95" s="44" t="s">
        <v>271</v>
      </c>
      <c r="B95" s="695" t="s">
        <v>209</v>
      </c>
      <c r="C95" s="698"/>
      <c r="D95" s="696"/>
    </row>
    <row r="96" spans="1:6">
      <c r="A96" s="44" t="s">
        <v>272</v>
      </c>
      <c r="B96" s="695" t="s">
        <v>425</v>
      </c>
      <c r="C96" s="758" t="s">
        <v>426</v>
      </c>
      <c r="D96" s="693"/>
    </row>
    <row r="97" spans="1:4">
      <c r="A97" s="44" t="s">
        <v>275</v>
      </c>
      <c r="B97" s="695" t="s">
        <v>427</v>
      </c>
      <c r="C97" s="698" t="s">
        <v>428</v>
      </c>
      <c r="D97" s="696"/>
    </row>
    <row r="98" spans="1:4">
      <c r="A98" s="44" t="s">
        <v>278</v>
      </c>
      <c r="B98" s="695" t="s">
        <v>425</v>
      </c>
      <c r="C98" s="698"/>
      <c r="D98" s="696"/>
    </row>
    <row r="99" spans="1:4">
      <c r="A99" s="44" t="s">
        <v>394</v>
      </c>
      <c r="B99" s="695" t="s">
        <v>429</v>
      </c>
      <c r="C99" s="698" t="s">
        <v>430</v>
      </c>
      <c r="D99" s="696"/>
    </row>
    <row r="100" spans="1:4">
      <c r="A100" s="44" t="s">
        <v>284</v>
      </c>
      <c r="B100" s="695" t="s">
        <v>429</v>
      </c>
      <c r="C100" s="698" t="s">
        <v>426</v>
      </c>
      <c r="D100" s="696"/>
    </row>
    <row r="101" spans="1:4">
      <c r="A101" s="699" t="s">
        <v>285</v>
      </c>
      <c r="B101" s="759" t="s">
        <v>431</v>
      </c>
      <c r="C101" s="700" t="s">
        <v>430</v>
      </c>
      <c r="D101" s="760"/>
    </row>
    <row r="102" spans="1:4">
      <c r="A102" s="699" t="s">
        <v>288</v>
      </c>
      <c r="B102" s="759" t="s">
        <v>432</v>
      </c>
      <c r="C102" s="700" t="s">
        <v>430</v>
      </c>
      <c r="D102" s="760"/>
    </row>
    <row r="103" spans="1:4">
      <c r="A103" s="68" t="s">
        <v>404</v>
      </c>
      <c r="B103" s="761"/>
      <c r="C103" s="762" t="s">
        <v>428</v>
      </c>
      <c r="D103" s="763"/>
    </row>
  </sheetData>
  <mergeCells count="44">
    <mergeCell ref="C5:D5"/>
    <mergeCell ref="B6:F6"/>
    <mergeCell ref="C7:F7"/>
    <mergeCell ref="A40:F40"/>
    <mergeCell ref="A41:F41"/>
    <mergeCell ref="A42:F42"/>
    <mergeCell ref="A53:F53"/>
    <mergeCell ref="B54:F54"/>
    <mergeCell ref="C55:D55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73:F73"/>
    <mergeCell ref="E74:F74"/>
    <mergeCell ref="E75:F75"/>
    <mergeCell ref="E66:F66"/>
    <mergeCell ref="E67:F67"/>
    <mergeCell ref="E68:F68"/>
    <mergeCell ref="E69:F69"/>
    <mergeCell ref="E70:F70"/>
    <mergeCell ref="E86:F86"/>
    <mergeCell ref="A1:A4"/>
    <mergeCell ref="A6:A8"/>
    <mergeCell ref="B1:F4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</mergeCells>
  <pageMargins left="0" right="0" top="0" bottom="0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3"/>
  <sheetViews>
    <sheetView topLeftCell="A52" workbookViewId="0">
      <selection activeCell="B35" sqref="B35"/>
    </sheetView>
  </sheetViews>
  <sheetFormatPr baseColWidth="10" defaultColWidth="11" defaultRowHeight="15"/>
  <cols>
    <col min="1" max="1" width="31.42578125" customWidth="1"/>
    <col min="2" max="2" width="14.140625" customWidth="1"/>
    <col min="6" max="6" width="8.7109375" customWidth="1"/>
    <col min="7" max="7" width="7.7109375" customWidth="1"/>
  </cols>
  <sheetData>
    <row r="1" spans="1:7">
      <c r="A1" s="1083"/>
      <c r="B1" s="1090" t="s">
        <v>433</v>
      </c>
      <c r="C1" s="1094"/>
      <c r="D1" s="1094"/>
      <c r="E1" s="1094"/>
      <c r="F1" s="1094"/>
    </row>
    <row r="2" spans="1:7">
      <c r="A2" s="1083"/>
      <c r="B2" s="1094"/>
      <c r="C2" s="1094"/>
      <c r="D2" s="1094"/>
      <c r="E2" s="1094"/>
      <c r="F2" s="1094"/>
    </row>
    <row r="3" spans="1:7">
      <c r="A3" s="1083"/>
      <c r="B3" s="1094"/>
      <c r="C3" s="1094"/>
      <c r="D3" s="1094"/>
      <c r="E3" s="1094"/>
      <c r="F3" s="1094"/>
    </row>
    <row r="4" spans="1:7">
      <c r="A4" s="1083"/>
      <c r="B4" s="1094"/>
      <c r="C4" s="1094"/>
      <c r="D4" s="1094"/>
      <c r="E4" s="1094"/>
      <c r="F4" s="1094"/>
    </row>
    <row r="5" spans="1:7" ht="15.75">
      <c r="A5" s="431"/>
      <c r="B5" s="431"/>
      <c r="C5" s="1126">
        <v>2024</v>
      </c>
      <c r="D5" s="1126"/>
      <c r="E5" s="2"/>
      <c r="F5" s="432"/>
    </row>
    <row r="6" spans="1:7" ht="15.75">
      <c r="A6" s="1134" t="s">
        <v>2</v>
      </c>
      <c r="B6" s="1138" t="s">
        <v>40</v>
      </c>
      <c r="C6" s="1139"/>
      <c r="D6" s="1139"/>
      <c r="E6" s="1139"/>
      <c r="F6" s="1141"/>
    </row>
    <row r="7" spans="1:7" ht="15.75">
      <c r="A7" s="1135"/>
      <c r="B7" s="604" t="s">
        <v>5</v>
      </c>
      <c r="C7" s="1281" t="s">
        <v>6</v>
      </c>
      <c r="D7" s="1282"/>
      <c r="E7" s="1282"/>
      <c r="F7" s="1283"/>
    </row>
    <row r="8" spans="1:7" ht="15.75">
      <c r="A8" s="1275"/>
      <c r="B8" s="605" t="s">
        <v>178</v>
      </c>
      <c r="C8" s="606" t="s">
        <v>8</v>
      </c>
      <c r="D8" s="606" t="s">
        <v>9</v>
      </c>
      <c r="E8" s="606" t="s">
        <v>10</v>
      </c>
      <c r="F8" s="607" t="s">
        <v>7</v>
      </c>
      <c r="G8" s="640" t="s">
        <v>434</v>
      </c>
    </row>
    <row r="9" spans="1:7" ht="15.75">
      <c r="A9" s="589">
        <v>45627</v>
      </c>
      <c r="B9" s="678" t="s">
        <v>130</v>
      </c>
      <c r="C9" s="474" t="s">
        <v>42</v>
      </c>
      <c r="D9" s="715" t="s">
        <v>14</v>
      </c>
      <c r="E9" s="715" t="s">
        <v>14</v>
      </c>
      <c r="F9" s="643" t="s">
        <v>23</v>
      </c>
      <c r="G9" s="644" t="s">
        <v>182</v>
      </c>
    </row>
    <row r="10" spans="1:7" ht="15.75">
      <c r="A10" s="589">
        <v>45628</v>
      </c>
      <c r="B10" s="670" t="s">
        <v>30</v>
      </c>
      <c r="C10" s="478" t="s">
        <v>42</v>
      </c>
      <c r="D10" s="652" t="s">
        <v>129</v>
      </c>
      <c r="E10" s="715" t="s">
        <v>14</v>
      </c>
      <c r="F10" s="654" t="s">
        <v>23</v>
      </c>
      <c r="G10" s="47"/>
    </row>
    <row r="11" spans="1:7" ht="15.75">
      <c r="A11" s="589">
        <v>45629</v>
      </c>
      <c r="B11" s="670" t="s">
        <v>21</v>
      </c>
      <c r="C11" s="478" t="s">
        <v>435</v>
      </c>
      <c r="D11" s="652" t="s">
        <v>129</v>
      </c>
      <c r="E11" s="715" t="s">
        <v>14</v>
      </c>
      <c r="F11" s="654" t="s">
        <v>23</v>
      </c>
      <c r="G11" s="47"/>
    </row>
    <row r="12" spans="1:7" ht="15.75">
      <c r="A12" s="589">
        <v>45630</v>
      </c>
      <c r="B12" s="670" t="s">
        <v>400</v>
      </c>
      <c r="C12" s="478" t="s">
        <v>42</v>
      </c>
      <c r="D12" s="652" t="s">
        <v>129</v>
      </c>
      <c r="E12" s="715" t="s">
        <v>14</v>
      </c>
      <c r="F12" s="654" t="s">
        <v>23</v>
      </c>
      <c r="G12" s="47" t="s">
        <v>182</v>
      </c>
    </row>
    <row r="13" spans="1:7" ht="15.75">
      <c r="A13" s="589">
        <v>45631</v>
      </c>
      <c r="B13" s="678" t="s">
        <v>130</v>
      </c>
      <c r="C13" s="478" t="s">
        <v>42</v>
      </c>
      <c r="D13" s="652" t="s">
        <v>129</v>
      </c>
      <c r="E13" s="715" t="s">
        <v>14</v>
      </c>
      <c r="F13" s="654" t="s">
        <v>23</v>
      </c>
      <c r="G13" s="47"/>
    </row>
    <row r="14" spans="1:7" ht="15.75">
      <c r="A14" s="589">
        <v>45632</v>
      </c>
      <c r="B14" s="674" t="s">
        <v>21</v>
      </c>
      <c r="C14" s="481" t="s">
        <v>146</v>
      </c>
      <c r="D14" s="649" t="s">
        <v>436</v>
      </c>
      <c r="E14" s="649" t="s">
        <v>437</v>
      </c>
      <c r="F14" s="650" t="s">
        <v>14</v>
      </c>
      <c r="G14" s="47" t="s">
        <v>130</v>
      </c>
    </row>
    <row r="15" spans="1:7" ht="15.75">
      <c r="A15" s="589">
        <v>45633</v>
      </c>
      <c r="B15" s="670" t="s">
        <v>438</v>
      </c>
      <c r="C15" s="478" t="s">
        <v>42</v>
      </c>
      <c r="D15" s="652" t="s">
        <v>129</v>
      </c>
      <c r="E15" s="652" t="s">
        <v>109</v>
      </c>
      <c r="F15" s="654" t="s">
        <v>23</v>
      </c>
      <c r="G15" s="47"/>
    </row>
    <row r="16" spans="1:7" ht="15.75">
      <c r="A16" s="589">
        <v>45634</v>
      </c>
      <c r="B16" s="670" t="s">
        <v>400</v>
      </c>
      <c r="C16" s="478" t="s">
        <v>42</v>
      </c>
      <c r="D16" s="652" t="s">
        <v>129</v>
      </c>
      <c r="E16" s="652" t="s">
        <v>14</v>
      </c>
      <c r="F16" s="654" t="s">
        <v>23</v>
      </c>
      <c r="G16" s="47" t="s">
        <v>439</v>
      </c>
    </row>
    <row r="17" spans="1:7" ht="15.75">
      <c r="A17" s="589">
        <v>45635</v>
      </c>
      <c r="B17" s="678" t="s">
        <v>134</v>
      </c>
      <c r="C17" s="478" t="s">
        <v>42</v>
      </c>
      <c r="D17" s="652" t="s">
        <v>129</v>
      </c>
      <c r="E17" s="652" t="s">
        <v>14</v>
      </c>
      <c r="F17" s="654" t="s">
        <v>23</v>
      </c>
      <c r="G17" s="47"/>
    </row>
    <row r="18" spans="1:7" ht="15.75">
      <c r="A18" s="589">
        <v>45636</v>
      </c>
      <c r="B18" s="670" t="s">
        <v>440</v>
      </c>
      <c r="C18" s="478" t="s">
        <v>42</v>
      </c>
      <c r="D18" s="652" t="s">
        <v>129</v>
      </c>
      <c r="E18" s="652" t="s">
        <v>14</v>
      </c>
      <c r="F18" s="654" t="s">
        <v>23</v>
      </c>
      <c r="G18" s="47"/>
    </row>
    <row r="19" spans="1:7" ht="15.75">
      <c r="A19" s="589">
        <v>45637</v>
      </c>
      <c r="B19" s="670" t="s">
        <v>21</v>
      </c>
      <c r="C19" s="478" t="s">
        <v>42</v>
      </c>
      <c r="D19" s="652" t="s">
        <v>129</v>
      </c>
      <c r="E19" s="652" t="s">
        <v>14</v>
      </c>
      <c r="F19" s="654" t="s">
        <v>23</v>
      </c>
      <c r="G19" s="47" t="s">
        <v>182</v>
      </c>
    </row>
    <row r="20" spans="1:7" ht="15.75">
      <c r="A20" s="589">
        <v>45638</v>
      </c>
      <c r="B20" s="670" t="s">
        <v>441</v>
      </c>
      <c r="C20" s="478" t="s">
        <v>42</v>
      </c>
      <c r="D20" s="652" t="s">
        <v>17</v>
      </c>
      <c r="E20" s="652" t="s">
        <v>14</v>
      </c>
      <c r="F20" s="654" t="s">
        <v>23</v>
      </c>
      <c r="G20" s="47"/>
    </row>
    <row r="21" spans="1:7" ht="15.75">
      <c r="A21" s="589">
        <v>45639</v>
      </c>
      <c r="B21" s="679" t="s">
        <v>442</v>
      </c>
      <c r="C21" s="481" t="s">
        <v>436</v>
      </c>
      <c r="D21" s="649" t="s">
        <v>404</v>
      </c>
      <c r="E21" s="649" t="s">
        <v>17</v>
      </c>
      <c r="F21" s="650" t="s">
        <v>14</v>
      </c>
      <c r="G21" s="47"/>
    </row>
    <row r="22" spans="1:7" ht="15.75">
      <c r="A22" s="589">
        <v>45640</v>
      </c>
      <c r="B22" s="670" t="s">
        <v>443</v>
      </c>
      <c r="C22" s="478" t="s">
        <v>42</v>
      </c>
      <c r="D22" s="652" t="s">
        <v>129</v>
      </c>
      <c r="E22" s="652" t="s">
        <v>109</v>
      </c>
      <c r="F22" s="654" t="s">
        <v>23</v>
      </c>
      <c r="G22" s="47"/>
    </row>
    <row r="23" spans="1:7" ht="15.75">
      <c r="A23" s="589">
        <v>45641</v>
      </c>
      <c r="B23" s="670" t="s">
        <v>21</v>
      </c>
      <c r="C23" s="478" t="s">
        <v>42</v>
      </c>
      <c r="D23" s="652" t="s">
        <v>129</v>
      </c>
      <c r="E23" s="652" t="s">
        <v>14</v>
      </c>
      <c r="F23" s="654" t="s">
        <v>23</v>
      </c>
      <c r="G23" s="47" t="s">
        <v>182</v>
      </c>
    </row>
    <row r="24" spans="1:7" ht="15.75">
      <c r="A24" s="589">
        <v>45642</v>
      </c>
      <c r="B24" s="670" t="s">
        <v>441</v>
      </c>
      <c r="C24" s="478" t="s">
        <v>42</v>
      </c>
      <c r="D24" s="652" t="s">
        <v>129</v>
      </c>
      <c r="E24" s="652" t="s">
        <v>14</v>
      </c>
      <c r="F24" s="654" t="s">
        <v>23</v>
      </c>
      <c r="G24" s="47"/>
    </row>
    <row r="25" spans="1:7" ht="15.75">
      <c r="A25" s="589">
        <v>45643</v>
      </c>
      <c r="B25" s="678" t="s">
        <v>134</v>
      </c>
      <c r="C25" s="478" t="s">
        <v>42</v>
      </c>
      <c r="D25" s="652" t="s">
        <v>129</v>
      </c>
      <c r="E25" s="652" t="s">
        <v>14</v>
      </c>
      <c r="F25" s="654" t="s">
        <v>23</v>
      </c>
      <c r="G25" s="47"/>
    </row>
    <row r="26" spans="1:7" ht="15.75">
      <c r="A26" s="589">
        <v>45644</v>
      </c>
      <c r="B26" s="670" t="s">
        <v>444</v>
      </c>
      <c r="C26" s="478" t="s">
        <v>42</v>
      </c>
      <c r="D26" s="652" t="s">
        <v>129</v>
      </c>
      <c r="E26" s="652" t="s">
        <v>14</v>
      </c>
      <c r="F26" s="654" t="s">
        <v>23</v>
      </c>
      <c r="G26" s="47" t="s">
        <v>182</v>
      </c>
    </row>
    <row r="27" spans="1:7" ht="15.75">
      <c r="A27" s="589">
        <v>45645</v>
      </c>
      <c r="B27" s="670" t="s">
        <v>21</v>
      </c>
      <c r="C27" s="478" t="s">
        <v>42</v>
      </c>
      <c r="D27" s="652" t="s">
        <v>17</v>
      </c>
      <c r="E27" s="652" t="s">
        <v>14</v>
      </c>
      <c r="F27" s="654" t="s">
        <v>23</v>
      </c>
      <c r="G27" s="47"/>
    </row>
    <row r="28" spans="1:7" ht="15.75">
      <c r="A28" s="589">
        <v>45646</v>
      </c>
      <c r="B28" s="674" t="s">
        <v>445</v>
      </c>
      <c r="C28" s="481" t="s">
        <v>446</v>
      </c>
      <c r="D28" s="649" t="s">
        <v>436</v>
      </c>
      <c r="E28" s="649" t="s">
        <v>17</v>
      </c>
      <c r="F28" s="650" t="s">
        <v>14</v>
      </c>
      <c r="G28" s="47"/>
    </row>
    <row r="29" spans="1:7" ht="15.75">
      <c r="A29" s="589">
        <v>45647</v>
      </c>
      <c r="B29" s="678" t="s">
        <v>442</v>
      </c>
      <c r="C29" s="478" t="s">
        <v>42</v>
      </c>
      <c r="D29" s="652" t="s">
        <v>129</v>
      </c>
      <c r="E29" s="652" t="s">
        <v>109</v>
      </c>
      <c r="F29" s="654" t="s">
        <v>23</v>
      </c>
      <c r="G29" s="47"/>
    </row>
    <row r="30" spans="1:7" ht="15.75">
      <c r="A30" s="589">
        <v>45648</v>
      </c>
      <c r="B30" s="670" t="s">
        <v>444</v>
      </c>
      <c r="C30" s="478" t="s">
        <v>42</v>
      </c>
      <c r="D30" s="652" t="s">
        <v>129</v>
      </c>
      <c r="E30" s="652" t="s">
        <v>14</v>
      </c>
      <c r="F30" s="654" t="s">
        <v>23</v>
      </c>
      <c r="G30" s="47" t="s">
        <v>182</v>
      </c>
    </row>
    <row r="31" spans="1:7" ht="15.75">
      <c r="A31" s="589">
        <v>45649</v>
      </c>
      <c r="B31" s="670" t="s">
        <v>180</v>
      </c>
      <c r="C31" s="478" t="s">
        <v>42</v>
      </c>
      <c r="D31" s="652" t="s">
        <v>129</v>
      </c>
      <c r="E31" s="652" t="s">
        <v>14</v>
      </c>
      <c r="F31" s="654" t="s">
        <v>23</v>
      </c>
      <c r="G31" s="47"/>
    </row>
    <row r="32" spans="1:7" ht="15.75">
      <c r="A32" s="589">
        <v>45650</v>
      </c>
      <c r="B32" s="670" t="s">
        <v>441</v>
      </c>
      <c r="C32" s="478" t="s">
        <v>42</v>
      </c>
      <c r="D32" s="652" t="s">
        <v>129</v>
      </c>
      <c r="E32" s="652" t="s">
        <v>14</v>
      </c>
      <c r="F32" s="654" t="s">
        <v>23</v>
      </c>
      <c r="G32" s="47"/>
    </row>
    <row r="33" spans="1:7" ht="15.75">
      <c r="A33" s="589">
        <v>45651</v>
      </c>
      <c r="B33" s="678" t="s">
        <v>447</v>
      </c>
      <c r="C33" s="478" t="s">
        <v>42</v>
      </c>
      <c r="D33" s="652" t="s">
        <v>129</v>
      </c>
      <c r="E33" s="652" t="s">
        <v>14</v>
      </c>
      <c r="F33" s="654" t="s">
        <v>23</v>
      </c>
      <c r="G33" s="47" t="s">
        <v>182</v>
      </c>
    </row>
    <row r="34" spans="1:7" ht="15.75">
      <c r="A34" s="589">
        <v>45652</v>
      </c>
      <c r="B34" s="670" t="s">
        <v>448</v>
      </c>
      <c r="C34" s="478" t="s">
        <v>73</v>
      </c>
      <c r="D34" s="652" t="s">
        <v>129</v>
      </c>
      <c r="E34" s="652" t="s">
        <v>14</v>
      </c>
      <c r="F34" s="654" t="s">
        <v>23</v>
      </c>
      <c r="G34" s="47"/>
    </row>
    <row r="35" spans="1:7" ht="15.75">
      <c r="A35" s="589">
        <v>45653</v>
      </c>
      <c r="B35" s="674" t="s">
        <v>186</v>
      </c>
      <c r="C35" s="481" t="s">
        <v>446</v>
      </c>
      <c r="D35" s="649" t="s">
        <v>449</v>
      </c>
      <c r="E35" s="649" t="s">
        <v>17</v>
      </c>
      <c r="F35" s="650" t="s">
        <v>435</v>
      </c>
      <c r="G35" s="47" t="s">
        <v>450</v>
      </c>
    </row>
    <row r="36" spans="1:7" ht="15.75">
      <c r="A36" s="589">
        <v>45654</v>
      </c>
      <c r="B36" s="670" t="s">
        <v>445</v>
      </c>
      <c r="C36" s="478" t="s">
        <v>42</v>
      </c>
      <c r="D36" s="652" t="s">
        <v>129</v>
      </c>
      <c r="E36" s="652" t="s">
        <v>109</v>
      </c>
      <c r="F36" s="654" t="s">
        <v>23</v>
      </c>
      <c r="G36" s="47" t="s">
        <v>451</v>
      </c>
    </row>
    <row r="37" spans="1:7" ht="15.75">
      <c r="A37" s="589">
        <v>45655</v>
      </c>
      <c r="B37" s="678" t="s">
        <v>442</v>
      </c>
      <c r="C37" s="478" t="s">
        <v>42</v>
      </c>
      <c r="D37" s="652" t="s">
        <v>129</v>
      </c>
      <c r="E37" s="652" t="s">
        <v>14</v>
      </c>
      <c r="F37" s="654" t="s">
        <v>23</v>
      </c>
      <c r="G37" s="47" t="s">
        <v>451</v>
      </c>
    </row>
    <row r="38" spans="1:7" ht="15.75">
      <c r="A38" s="589">
        <v>45656</v>
      </c>
      <c r="B38" s="670" t="s">
        <v>448</v>
      </c>
      <c r="C38" s="483" t="s">
        <v>42</v>
      </c>
      <c r="D38" s="652" t="s">
        <v>73</v>
      </c>
      <c r="E38" s="652" t="s">
        <v>14</v>
      </c>
      <c r="F38" s="654" t="s">
        <v>23</v>
      </c>
      <c r="G38" s="47"/>
    </row>
    <row r="39" spans="1:7" ht="15.75">
      <c r="A39" s="589">
        <v>45657</v>
      </c>
      <c r="B39" s="716" t="s">
        <v>180</v>
      </c>
      <c r="C39" s="497" t="s">
        <v>42</v>
      </c>
      <c r="D39" s="717" t="s">
        <v>129</v>
      </c>
      <c r="E39" s="717" t="s">
        <v>14</v>
      </c>
      <c r="F39" s="718" t="s">
        <v>23</v>
      </c>
      <c r="G39" s="719"/>
    </row>
    <row r="40" spans="1:7">
      <c r="A40" s="1254"/>
      <c r="B40" s="1218"/>
      <c r="C40" s="1218"/>
      <c r="D40" s="1218"/>
      <c r="E40" s="1218"/>
      <c r="F40" s="1218"/>
    </row>
    <row r="41" spans="1:7">
      <c r="A41" s="1147"/>
      <c r="B41" s="1147"/>
      <c r="C41" s="1147"/>
      <c r="D41" s="1147"/>
      <c r="E41" s="1147"/>
      <c r="F41" s="1147"/>
    </row>
    <row r="42" spans="1:7">
      <c r="A42" s="1147"/>
      <c r="B42" s="1147"/>
      <c r="C42" s="1147"/>
      <c r="D42" s="1147"/>
      <c r="E42" s="1147"/>
      <c r="F42" s="1147"/>
    </row>
    <row r="49" spans="1:7">
      <c r="F49" s="195"/>
    </row>
    <row r="50" spans="1:7">
      <c r="F50" s="195"/>
    </row>
    <row r="53" spans="1:7" ht="21">
      <c r="A53" s="1102" t="s">
        <v>452</v>
      </c>
      <c r="B53" s="1102"/>
      <c r="C53" s="1102"/>
      <c r="D53" s="1102"/>
      <c r="E53" s="1102"/>
      <c r="F53" s="1102"/>
    </row>
    <row r="54" spans="1:7" ht="21">
      <c r="B54" s="1235" t="s">
        <v>4</v>
      </c>
      <c r="C54" s="1236"/>
      <c r="D54" s="1236"/>
      <c r="E54" s="1236"/>
      <c r="F54" s="1236"/>
      <c r="G54" s="1237"/>
    </row>
    <row r="55" spans="1:7" ht="21">
      <c r="B55" s="620" t="s">
        <v>5</v>
      </c>
      <c r="C55" s="1238" t="s">
        <v>6</v>
      </c>
      <c r="D55" s="1278"/>
      <c r="E55" s="1239"/>
      <c r="F55" s="1279" t="s">
        <v>128</v>
      </c>
      <c r="G55" s="1280"/>
    </row>
    <row r="56" spans="1:7" ht="15.75">
      <c r="A56" s="589">
        <v>45627</v>
      </c>
      <c r="B56" s="720" t="s">
        <v>130</v>
      </c>
      <c r="C56" s="721" t="s">
        <v>73</v>
      </c>
      <c r="D56" s="722" t="s">
        <v>34</v>
      </c>
      <c r="E56" s="723"/>
      <c r="F56" s="1276"/>
      <c r="G56" s="1277"/>
    </row>
    <row r="57" spans="1:7" ht="15.75">
      <c r="A57" s="589">
        <v>45628</v>
      </c>
      <c r="B57" s="670" t="s">
        <v>30</v>
      </c>
      <c r="C57" s="671" t="s">
        <v>453</v>
      </c>
      <c r="D57" s="672" t="s">
        <v>454</v>
      </c>
      <c r="E57" s="373"/>
      <c r="F57" s="1228"/>
      <c r="G57" s="1193"/>
    </row>
    <row r="58" spans="1:7" ht="15.75">
      <c r="A58" s="589">
        <v>45629</v>
      </c>
      <c r="B58" s="670" t="s">
        <v>21</v>
      </c>
      <c r="C58" s="671" t="s">
        <v>455</v>
      </c>
      <c r="D58" s="672" t="s">
        <v>456</v>
      </c>
      <c r="E58" s="108" t="s">
        <v>95</v>
      </c>
      <c r="F58" s="1228" t="s">
        <v>457</v>
      </c>
      <c r="G58" s="1193"/>
    </row>
    <row r="59" spans="1:7" ht="15.75">
      <c r="A59" s="589">
        <v>45630</v>
      </c>
      <c r="B59" s="670" t="s">
        <v>400</v>
      </c>
      <c r="C59" s="671" t="s">
        <v>436</v>
      </c>
      <c r="D59" s="672" t="s">
        <v>34</v>
      </c>
      <c r="E59" s="373"/>
      <c r="F59" s="1228"/>
      <c r="G59" s="1193"/>
    </row>
    <row r="60" spans="1:7" ht="15.75">
      <c r="A60" s="589">
        <v>45631</v>
      </c>
      <c r="B60" s="678" t="s">
        <v>130</v>
      </c>
      <c r="C60" s="671" t="s">
        <v>458</v>
      </c>
      <c r="D60" s="672" t="s">
        <v>435</v>
      </c>
      <c r="E60" s="108"/>
      <c r="F60" s="1228"/>
      <c r="G60" s="1193"/>
    </row>
    <row r="61" spans="1:7" ht="15.75">
      <c r="A61" s="589">
        <v>45632</v>
      </c>
      <c r="B61" s="674" t="s">
        <v>21</v>
      </c>
      <c r="C61" s="675" t="s">
        <v>437</v>
      </c>
      <c r="D61" s="676" t="s">
        <v>453</v>
      </c>
      <c r="E61" s="397"/>
      <c r="F61" s="1228"/>
      <c r="G61" s="1193"/>
    </row>
    <row r="62" spans="1:7" ht="15.75">
      <c r="A62" s="589">
        <v>45633</v>
      </c>
      <c r="B62" s="670" t="s">
        <v>30</v>
      </c>
      <c r="C62" s="671" t="s">
        <v>455</v>
      </c>
      <c r="D62" s="672" t="s">
        <v>446</v>
      </c>
      <c r="E62" s="373"/>
      <c r="F62" s="1228" t="s">
        <v>457</v>
      </c>
      <c r="G62" s="1193"/>
    </row>
    <row r="63" spans="1:7" ht="15.75">
      <c r="A63" s="589">
        <v>45634</v>
      </c>
      <c r="B63" s="670" t="s">
        <v>400</v>
      </c>
      <c r="C63" s="671" t="s">
        <v>73</v>
      </c>
      <c r="D63" s="672" t="s">
        <v>34</v>
      </c>
      <c r="E63" s="373"/>
      <c r="F63" s="1228"/>
      <c r="G63" s="1193"/>
    </row>
    <row r="64" spans="1:7" ht="15.75">
      <c r="A64" s="589">
        <v>45635</v>
      </c>
      <c r="B64" s="678" t="s">
        <v>130</v>
      </c>
      <c r="C64" s="671" t="s">
        <v>454</v>
      </c>
      <c r="D64" s="672" t="s">
        <v>459</v>
      </c>
      <c r="E64" s="373"/>
      <c r="F64" s="1228" t="s">
        <v>457</v>
      </c>
      <c r="G64" s="1193"/>
    </row>
    <row r="65" spans="1:7" ht="15.75">
      <c r="A65" s="589">
        <v>45636</v>
      </c>
      <c r="B65" s="670" t="s">
        <v>30</v>
      </c>
      <c r="C65" s="671" t="s">
        <v>453</v>
      </c>
      <c r="D65" s="672" t="s">
        <v>460</v>
      </c>
      <c r="E65" s="108"/>
      <c r="F65" s="1228"/>
      <c r="G65" s="1193"/>
    </row>
    <row r="66" spans="1:7" ht="15.75">
      <c r="A66" s="589">
        <v>45637</v>
      </c>
      <c r="B66" s="670" t="s">
        <v>21</v>
      </c>
      <c r="C66" s="671" t="s">
        <v>455</v>
      </c>
      <c r="D66" s="672" t="s">
        <v>435</v>
      </c>
      <c r="E66" s="373"/>
      <c r="F66" s="1228" t="s">
        <v>461</v>
      </c>
      <c r="G66" s="1193"/>
    </row>
    <row r="67" spans="1:7" ht="15.75">
      <c r="A67" s="589">
        <v>45638</v>
      </c>
      <c r="B67" s="670" t="s">
        <v>400</v>
      </c>
      <c r="C67" s="671" t="s">
        <v>458</v>
      </c>
      <c r="D67" s="672" t="s">
        <v>446</v>
      </c>
      <c r="E67" s="373"/>
      <c r="F67" s="1228" t="s">
        <v>34</v>
      </c>
      <c r="G67" s="1193"/>
    </row>
    <row r="68" spans="1:7" ht="15.75">
      <c r="A68" s="589">
        <v>45639</v>
      </c>
      <c r="B68" s="679" t="s">
        <v>130</v>
      </c>
      <c r="C68" s="675" t="s">
        <v>34</v>
      </c>
      <c r="D68" s="676" t="s">
        <v>436</v>
      </c>
      <c r="E68" s="397"/>
      <c r="F68" s="1228" t="s">
        <v>462</v>
      </c>
      <c r="G68" s="1193"/>
    </row>
    <row r="69" spans="1:7" ht="15.75">
      <c r="A69" s="589">
        <v>45640</v>
      </c>
      <c r="B69" s="670" t="s">
        <v>30</v>
      </c>
      <c r="C69" s="671" t="s">
        <v>455</v>
      </c>
      <c r="D69" s="672" t="s">
        <v>453</v>
      </c>
      <c r="E69" s="373"/>
      <c r="F69" s="1228" t="s">
        <v>463</v>
      </c>
      <c r="G69" s="1193"/>
    </row>
    <row r="70" spans="1:7" ht="15.75">
      <c r="A70" s="589">
        <v>45641</v>
      </c>
      <c r="B70" s="670" t="s">
        <v>21</v>
      </c>
      <c r="C70" s="671" t="s">
        <v>459</v>
      </c>
      <c r="D70" s="672" t="s">
        <v>449</v>
      </c>
      <c r="E70" s="373"/>
      <c r="F70" s="1228" t="s">
        <v>464</v>
      </c>
      <c r="G70" s="1193"/>
    </row>
    <row r="71" spans="1:7" ht="15.75">
      <c r="A71" s="589">
        <v>45642</v>
      </c>
      <c r="B71" s="670" t="s">
        <v>400</v>
      </c>
      <c r="C71" s="671" t="s">
        <v>454</v>
      </c>
      <c r="D71" s="672" t="s">
        <v>456</v>
      </c>
      <c r="E71" s="373"/>
      <c r="F71" s="1228" t="s">
        <v>465</v>
      </c>
      <c r="G71" s="1193"/>
    </row>
    <row r="72" spans="1:7" ht="15.75">
      <c r="A72" s="589">
        <v>45643</v>
      </c>
      <c r="B72" s="678" t="s">
        <v>130</v>
      </c>
      <c r="C72" s="671" t="s">
        <v>455</v>
      </c>
      <c r="D72" s="672" t="s">
        <v>436</v>
      </c>
      <c r="E72" s="373" t="s">
        <v>34</v>
      </c>
      <c r="F72" s="1228" t="s">
        <v>466</v>
      </c>
      <c r="G72" s="1193"/>
    </row>
    <row r="73" spans="1:7" ht="15.75">
      <c r="A73" s="589">
        <v>45644</v>
      </c>
      <c r="B73" s="670" t="s">
        <v>30</v>
      </c>
      <c r="C73" s="680" t="s">
        <v>453</v>
      </c>
      <c r="D73" s="681" t="s">
        <v>73</v>
      </c>
      <c r="E73" s="373" t="s">
        <v>459</v>
      </c>
      <c r="F73" s="1228"/>
      <c r="G73" s="1193"/>
    </row>
    <row r="74" spans="1:7" ht="15.75">
      <c r="A74" s="589">
        <v>45645</v>
      </c>
      <c r="B74" s="670" t="s">
        <v>21</v>
      </c>
      <c r="C74" s="671" t="s">
        <v>458</v>
      </c>
      <c r="D74" s="672" t="s">
        <v>449</v>
      </c>
      <c r="E74" s="373" t="s">
        <v>446</v>
      </c>
      <c r="F74" s="1228"/>
      <c r="G74" s="1193"/>
    </row>
    <row r="75" spans="1:7" ht="15.75">
      <c r="A75" s="589">
        <v>45646</v>
      </c>
      <c r="B75" s="674" t="s">
        <v>400</v>
      </c>
      <c r="C75" s="675" t="s">
        <v>34</v>
      </c>
      <c r="D75" s="676" t="s">
        <v>446</v>
      </c>
      <c r="E75" s="397" t="s">
        <v>73</v>
      </c>
      <c r="F75" s="1228"/>
      <c r="G75" s="1193"/>
    </row>
    <row r="76" spans="1:7" ht="15.75">
      <c r="A76" s="589">
        <v>45647</v>
      </c>
      <c r="B76" s="678" t="s">
        <v>130</v>
      </c>
      <c r="C76" s="671" t="s">
        <v>455</v>
      </c>
      <c r="D76" s="672" t="s">
        <v>34</v>
      </c>
      <c r="E76" s="373"/>
      <c r="F76" s="1228"/>
      <c r="G76" s="1193"/>
    </row>
    <row r="77" spans="1:7" ht="15.75">
      <c r="A77" s="589">
        <v>45648</v>
      </c>
      <c r="B77" s="670" t="s">
        <v>30</v>
      </c>
      <c r="C77" s="671" t="s">
        <v>459</v>
      </c>
      <c r="D77" s="672" t="s">
        <v>453</v>
      </c>
      <c r="E77" s="392" t="s">
        <v>33</v>
      </c>
      <c r="F77" s="1228" t="s">
        <v>467</v>
      </c>
      <c r="G77" s="1193"/>
    </row>
    <row r="78" spans="1:7" ht="15.75">
      <c r="A78" s="589">
        <v>45649</v>
      </c>
      <c r="B78" s="670" t="s">
        <v>21</v>
      </c>
      <c r="C78" s="671" t="s">
        <v>455</v>
      </c>
      <c r="D78" s="672" t="s">
        <v>34</v>
      </c>
      <c r="E78" s="373" t="s">
        <v>458</v>
      </c>
      <c r="F78" s="1228"/>
      <c r="G78" s="1193"/>
    </row>
    <row r="79" spans="1:7" ht="15.75">
      <c r="A79" s="589">
        <v>45650</v>
      </c>
      <c r="B79" s="670" t="s">
        <v>400</v>
      </c>
      <c r="C79" s="671" t="s">
        <v>436</v>
      </c>
      <c r="D79" s="672" t="s">
        <v>459</v>
      </c>
      <c r="E79" s="392" t="s">
        <v>33</v>
      </c>
      <c r="F79" s="1228"/>
      <c r="G79" s="1193"/>
    </row>
    <row r="80" spans="1:7" ht="15.75">
      <c r="A80" s="589">
        <v>45651</v>
      </c>
      <c r="B80" s="678" t="s">
        <v>130</v>
      </c>
      <c r="C80" s="671" t="s">
        <v>455</v>
      </c>
      <c r="D80" s="672" t="s">
        <v>459</v>
      </c>
      <c r="E80" s="373"/>
      <c r="F80" s="1228"/>
      <c r="G80" s="1193"/>
    </row>
    <row r="81" spans="1:7" ht="15.75">
      <c r="A81" s="589">
        <v>45652</v>
      </c>
      <c r="B81" s="670" t="s">
        <v>30</v>
      </c>
      <c r="C81" s="671" t="s">
        <v>458</v>
      </c>
      <c r="D81" s="672" t="s">
        <v>435</v>
      </c>
      <c r="E81" s="373" t="s">
        <v>73</v>
      </c>
      <c r="F81" s="1228"/>
      <c r="G81" s="1193"/>
    </row>
    <row r="82" spans="1:7" ht="15.75">
      <c r="A82" s="589">
        <v>45653</v>
      </c>
      <c r="B82" s="674" t="s">
        <v>21</v>
      </c>
      <c r="C82" s="675" t="s">
        <v>34</v>
      </c>
      <c r="D82" s="676" t="s">
        <v>446</v>
      </c>
      <c r="E82" s="397" t="s">
        <v>449</v>
      </c>
      <c r="F82" s="1228"/>
      <c r="G82" s="1193"/>
    </row>
    <row r="83" spans="1:7" ht="15.75">
      <c r="A83" s="589">
        <v>45654</v>
      </c>
      <c r="B83" s="670" t="s">
        <v>400</v>
      </c>
      <c r="C83" s="671" t="s">
        <v>455</v>
      </c>
      <c r="D83" s="672" t="s">
        <v>454</v>
      </c>
      <c r="E83" s="373" t="s">
        <v>34</v>
      </c>
      <c r="F83" s="1228"/>
      <c r="G83" s="1193"/>
    </row>
    <row r="84" spans="1:7" ht="15.75">
      <c r="A84" s="589">
        <v>45655</v>
      </c>
      <c r="B84" s="678" t="s">
        <v>130</v>
      </c>
      <c r="C84" s="671" t="s">
        <v>459</v>
      </c>
      <c r="D84" s="672" t="s">
        <v>34</v>
      </c>
      <c r="E84" s="373"/>
      <c r="F84" s="1228"/>
      <c r="G84" s="1193"/>
    </row>
    <row r="85" spans="1:7" ht="15.75">
      <c r="A85" s="589">
        <v>45656</v>
      </c>
      <c r="B85" s="670" t="s">
        <v>30</v>
      </c>
      <c r="C85" s="724" t="s">
        <v>455</v>
      </c>
      <c r="D85" s="725" t="s">
        <v>454</v>
      </c>
      <c r="E85" s="373" t="s">
        <v>458</v>
      </c>
      <c r="F85" s="1228" t="s">
        <v>146</v>
      </c>
      <c r="G85" s="1193"/>
    </row>
    <row r="86" spans="1:7" ht="15.75">
      <c r="A86" s="589">
        <v>45657</v>
      </c>
      <c r="B86" s="716" t="s">
        <v>21</v>
      </c>
      <c r="C86" s="726" t="s">
        <v>436</v>
      </c>
      <c r="D86" s="727" t="s">
        <v>449</v>
      </c>
      <c r="E86" s="404" t="s">
        <v>129</v>
      </c>
      <c r="F86" s="1273" t="s">
        <v>139</v>
      </c>
      <c r="G86" s="1274"/>
    </row>
    <row r="87" spans="1:7">
      <c r="A87" s="728"/>
      <c r="B87" s="729" t="s">
        <v>158</v>
      </c>
      <c r="C87" s="729" t="s">
        <v>255</v>
      </c>
      <c r="D87" s="730" t="s">
        <v>256</v>
      </c>
    </row>
    <row r="88" spans="1:7">
      <c r="A88" s="635" t="s">
        <v>257</v>
      </c>
      <c r="B88" s="731"/>
      <c r="C88" s="732"/>
      <c r="D88" s="733"/>
    </row>
    <row r="89" spans="1:7">
      <c r="A89" s="44" t="s">
        <v>260</v>
      </c>
      <c r="B89" s="734"/>
      <c r="C89" s="412"/>
      <c r="D89" s="413"/>
    </row>
    <row r="90" spans="1:7">
      <c r="A90" s="44" t="s">
        <v>262</v>
      </c>
      <c r="B90" s="734"/>
      <c r="C90" s="412"/>
      <c r="D90" s="413"/>
    </row>
    <row r="91" spans="1:7">
      <c r="A91" s="44" t="s">
        <v>264</v>
      </c>
      <c r="B91" s="734"/>
      <c r="C91" s="412"/>
      <c r="D91" s="413"/>
    </row>
    <row r="92" spans="1:7">
      <c r="A92" s="44" t="s">
        <v>265</v>
      </c>
      <c r="B92" s="1224"/>
      <c r="C92" s="1163"/>
      <c r="D92" s="413"/>
    </row>
    <row r="93" spans="1:7">
      <c r="A93" s="44" t="s">
        <v>267</v>
      </c>
      <c r="B93" s="734"/>
      <c r="C93" s="412"/>
      <c r="D93" s="413"/>
    </row>
    <row r="94" spans="1:7">
      <c r="A94" s="44" t="s">
        <v>269</v>
      </c>
      <c r="B94" s="734"/>
      <c r="C94" s="412"/>
      <c r="D94" s="413"/>
    </row>
    <row r="95" spans="1:7">
      <c r="A95" s="44" t="s">
        <v>271</v>
      </c>
      <c r="B95" s="734"/>
      <c r="C95" s="412"/>
      <c r="D95" s="413"/>
    </row>
    <row r="96" spans="1:7">
      <c r="A96" s="44" t="s">
        <v>272</v>
      </c>
      <c r="B96" s="734"/>
      <c r="C96" s="412"/>
      <c r="D96" s="413"/>
    </row>
    <row r="97" spans="1:4">
      <c r="A97" s="44" t="s">
        <v>275</v>
      </c>
      <c r="B97" s="734"/>
      <c r="C97" s="1161"/>
      <c r="D97" s="1225"/>
    </row>
    <row r="98" spans="1:4">
      <c r="A98" s="44" t="s">
        <v>278</v>
      </c>
      <c r="B98" s="734"/>
      <c r="C98" s="412"/>
      <c r="D98" s="413"/>
    </row>
    <row r="99" spans="1:4">
      <c r="A99" s="44"/>
      <c r="B99" s="734"/>
      <c r="C99" s="412"/>
      <c r="D99" s="413"/>
    </row>
    <row r="100" spans="1:4">
      <c r="A100" s="44" t="s">
        <v>394</v>
      </c>
      <c r="B100" s="734"/>
      <c r="C100" s="412"/>
      <c r="D100" s="413"/>
    </row>
    <row r="101" spans="1:4">
      <c r="A101" s="44" t="s">
        <v>284</v>
      </c>
      <c r="B101" s="734"/>
      <c r="C101" s="412"/>
      <c r="D101" s="413"/>
    </row>
    <row r="102" spans="1:4">
      <c r="A102" s="699" t="s">
        <v>285</v>
      </c>
      <c r="B102" s="735"/>
      <c r="C102" s="422"/>
      <c r="D102" s="423"/>
    </row>
    <row r="103" spans="1:4">
      <c r="A103" s="68" t="s">
        <v>288</v>
      </c>
      <c r="B103" s="736"/>
      <c r="C103" s="425"/>
      <c r="D103" s="426"/>
    </row>
  </sheetData>
  <mergeCells count="46">
    <mergeCell ref="C5:D5"/>
    <mergeCell ref="B6:F6"/>
    <mergeCell ref="C7:F7"/>
    <mergeCell ref="A40:F40"/>
    <mergeCell ref="A41:F41"/>
    <mergeCell ref="A42:F42"/>
    <mergeCell ref="A53:F53"/>
    <mergeCell ref="B54:G54"/>
    <mergeCell ref="C55:E55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86:G86"/>
    <mergeCell ref="B92:C92"/>
    <mergeCell ref="C97:D97"/>
    <mergeCell ref="A1:A4"/>
    <mergeCell ref="A6:A8"/>
    <mergeCell ref="B1:F4"/>
    <mergeCell ref="F81:G81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</mergeCells>
  <pageMargins left="0" right="0" top="0" bottom="0" header="0" footer="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3"/>
  <sheetViews>
    <sheetView workbookViewId="0">
      <selection activeCell="K60" sqref="K60"/>
    </sheetView>
  </sheetViews>
  <sheetFormatPr baseColWidth="10" defaultColWidth="11" defaultRowHeight="15"/>
  <cols>
    <col min="1" max="1" width="30.5703125" customWidth="1"/>
    <col min="2" max="2" width="15.5703125" customWidth="1"/>
    <col min="3" max="5" width="12" customWidth="1"/>
    <col min="6" max="6" width="8.28515625" customWidth="1"/>
    <col min="7" max="7" width="7.7109375" customWidth="1"/>
  </cols>
  <sheetData>
    <row r="1" spans="1:7">
      <c r="A1" s="1083"/>
      <c r="B1" s="1090" t="s">
        <v>468</v>
      </c>
      <c r="C1" s="1094"/>
      <c r="D1" s="1094"/>
      <c r="E1" s="1094"/>
      <c r="F1" s="1094"/>
    </row>
    <row r="2" spans="1:7">
      <c r="A2" s="1083"/>
      <c r="B2" s="1094"/>
      <c r="C2" s="1094"/>
      <c r="D2" s="1094"/>
      <c r="E2" s="1094"/>
      <c r="F2" s="1094"/>
    </row>
    <row r="3" spans="1:7">
      <c r="A3" s="1083"/>
      <c r="B3" s="1094"/>
      <c r="C3" s="1094"/>
      <c r="D3" s="1094"/>
      <c r="E3" s="1094"/>
      <c r="F3" s="1094"/>
    </row>
    <row r="4" spans="1:7">
      <c r="A4" s="1083"/>
      <c r="B4" s="1094"/>
      <c r="C4" s="1094"/>
      <c r="D4" s="1094"/>
      <c r="E4" s="1094"/>
      <c r="F4" s="1094"/>
    </row>
    <row r="5" spans="1:7" ht="15.75">
      <c r="A5" s="431"/>
      <c r="B5" s="431"/>
      <c r="C5" s="1126">
        <v>2025</v>
      </c>
      <c r="D5" s="1126"/>
      <c r="E5" s="2"/>
      <c r="F5" s="432"/>
    </row>
    <row r="6" spans="1:7" ht="15.75">
      <c r="A6" s="1134" t="s">
        <v>2</v>
      </c>
      <c r="B6" s="1138" t="s">
        <v>40</v>
      </c>
      <c r="C6" s="1139"/>
      <c r="D6" s="1139"/>
      <c r="E6" s="1139"/>
      <c r="F6" s="1141"/>
    </row>
    <row r="7" spans="1:7" ht="15.75">
      <c r="A7" s="1135"/>
      <c r="B7" s="604" t="s">
        <v>5</v>
      </c>
      <c r="C7" s="1281" t="s">
        <v>6</v>
      </c>
      <c r="D7" s="1282"/>
      <c r="E7" s="1282"/>
      <c r="F7" s="1283"/>
    </row>
    <row r="8" spans="1:7" ht="15.75">
      <c r="A8" s="1275"/>
      <c r="B8" s="605" t="s">
        <v>178</v>
      </c>
      <c r="C8" s="606" t="s">
        <v>8</v>
      </c>
      <c r="D8" s="606" t="s">
        <v>9</v>
      </c>
      <c r="E8" s="606" t="s">
        <v>10</v>
      </c>
      <c r="F8" s="607" t="s">
        <v>7</v>
      </c>
      <c r="G8" s="640" t="s">
        <v>434</v>
      </c>
    </row>
    <row r="9" spans="1:7" ht="15.75">
      <c r="A9" s="589">
        <v>45658</v>
      </c>
      <c r="B9" s="677" t="s">
        <v>294</v>
      </c>
      <c r="C9" s="474" t="s">
        <v>21</v>
      </c>
      <c r="D9" s="642" t="s">
        <v>129</v>
      </c>
      <c r="E9" s="642" t="s">
        <v>14</v>
      </c>
      <c r="F9" s="643" t="s">
        <v>33</v>
      </c>
      <c r="G9" s="644" t="s">
        <v>110</v>
      </c>
    </row>
    <row r="10" spans="1:7" ht="15.75">
      <c r="A10" s="589">
        <v>45659</v>
      </c>
      <c r="B10" s="70" t="s">
        <v>469</v>
      </c>
      <c r="C10" s="474" t="s">
        <v>42</v>
      </c>
      <c r="D10" s="642" t="s">
        <v>129</v>
      </c>
      <c r="E10" s="642" t="s">
        <v>14</v>
      </c>
      <c r="F10" s="643" t="s">
        <v>33</v>
      </c>
      <c r="G10" s="47"/>
    </row>
    <row r="11" spans="1:7" ht="15.75">
      <c r="A11" s="589">
        <v>45660</v>
      </c>
      <c r="B11" s="651" t="s">
        <v>294</v>
      </c>
      <c r="C11" s="481" t="s">
        <v>185</v>
      </c>
      <c r="D11" s="649" t="s">
        <v>350</v>
      </c>
      <c r="E11" s="649" t="s">
        <v>17</v>
      </c>
      <c r="F11" s="650" t="s">
        <v>14</v>
      </c>
      <c r="G11" s="651" t="s">
        <v>130</v>
      </c>
    </row>
    <row r="12" spans="1:7" ht="15.75">
      <c r="A12" s="589">
        <v>45661</v>
      </c>
      <c r="B12" s="70" t="s">
        <v>470</v>
      </c>
      <c r="C12" s="695" t="s">
        <v>42</v>
      </c>
      <c r="D12" s="652" t="s">
        <v>129</v>
      </c>
      <c r="E12" s="652" t="s">
        <v>109</v>
      </c>
      <c r="F12" s="654" t="s">
        <v>33</v>
      </c>
      <c r="G12" s="47"/>
    </row>
    <row r="13" spans="1:7" ht="15.75">
      <c r="A13" s="589">
        <v>45662</v>
      </c>
      <c r="B13" s="677" t="s">
        <v>184</v>
      </c>
      <c r="C13" s="695" t="s">
        <v>42</v>
      </c>
      <c r="D13" s="652" t="s">
        <v>129</v>
      </c>
      <c r="E13" s="653" t="s">
        <v>14</v>
      </c>
      <c r="F13" s="654" t="s">
        <v>33</v>
      </c>
      <c r="G13" s="47" t="s">
        <v>110</v>
      </c>
    </row>
    <row r="14" spans="1:7" ht="15.75">
      <c r="A14" s="589">
        <v>45663</v>
      </c>
      <c r="B14" s="70" t="s">
        <v>469</v>
      </c>
      <c r="C14" s="695" t="s">
        <v>42</v>
      </c>
      <c r="D14" s="652" t="s">
        <v>129</v>
      </c>
      <c r="E14" s="653" t="s">
        <v>17</v>
      </c>
      <c r="F14" s="654" t="s">
        <v>33</v>
      </c>
      <c r="G14" s="47"/>
    </row>
    <row r="15" spans="1:7" ht="15.75">
      <c r="A15" s="589">
        <v>45664</v>
      </c>
      <c r="B15" s="70" t="s">
        <v>293</v>
      </c>
      <c r="C15" s="695" t="s">
        <v>42</v>
      </c>
      <c r="D15" s="652" t="s">
        <v>129</v>
      </c>
      <c r="E15" s="653" t="s">
        <v>14</v>
      </c>
      <c r="F15" s="654" t="s">
        <v>33</v>
      </c>
      <c r="G15" s="47" t="s">
        <v>130</v>
      </c>
    </row>
    <row r="16" spans="1:7" ht="15.75">
      <c r="A16" s="589">
        <v>45665</v>
      </c>
      <c r="B16" s="70" t="s">
        <v>470</v>
      </c>
      <c r="C16" s="695" t="s">
        <v>42</v>
      </c>
      <c r="D16" s="652" t="s">
        <v>129</v>
      </c>
      <c r="E16" s="653" t="s">
        <v>14</v>
      </c>
      <c r="F16" s="654" t="s">
        <v>33</v>
      </c>
      <c r="G16" s="47" t="s">
        <v>93</v>
      </c>
    </row>
    <row r="17" spans="1:7" ht="15.75">
      <c r="A17" s="589">
        <v>45666</v>
      </c>
      <c r="B17" s="677" t="s">
        <v>471</v>
      </c>
      <c r="C17" s="695" t="s">
        <v>42</v>
      </c>
      <c r="D17" s="652" t="s">
        <v>129</v>
      </c>
      <c r="E17" s="653" t="s">
        <v>14</v>
      </c>
      <c r="F17" s="654" t="s">
        <v>33</v>
      </c>
      <c r="G17" s="47"/>
    </row>
    <row r="18" spans="1:7" ht="15.75">
      <c r="A18" s="589">
        <v>45667</v>
      </c>
      <c r="B18" s="651" t="s">
        <v>472</v>
      </c>
      <c r="C18" s="481" t="s">
        <v>185</v>
      </c>
      <c r="D18" s="649" t="s">
        <v>350</v>
      </c>
      <c r="E18" s="649" t="s">
        <v>17</v>
      </c>
      <c r="F18" s="650" t="s">
        <v>14</v>
      </c>
      <c r="G18" s="651" t="s">
        <v>21</v>
      </c>
    </row>
    <row r="19" spans="1:7" ht="15.75">
      <c r="A19" s="589">
        <v>45668</v>
      </c>
      <c r="B19" s="70" t="s">
        <v>293</v>
      </c>
      <c r="C19" s="478" t="s">
        <v>42</v>
      </c>
      <c r="D19" s="652" t="s">
        <v>129</v>
      </c>
      <c r="E19" s="652" t="s">
        <v>109</v>
      </c>
      <c r="F19" s="654" t="s">
        <v>21</v>
      </c>
      <c r="G19" s="47" t="s">
        <v>130</v>
      </c>
    </row>
    <row r="20" spans="1:7" ht="15.75">
      <c r="A20" s="589">
        <v>45669</v>
      </c>
      <c r="B20" s="70" t="s">
        <v>407</v>
      </c>
      <c r="C20" s="478" t="s">
        <v>42</v>
      </c>
      <c r="D20" s="652" t="s">
        <v>129</v>
      </c>
      <c r="E20" s="652" t="s">
        <v>14</v>
      </c>
      <c r="F20" s="654" t="s">
        <v>33</v>
      </c>
      <c r="G20" s="47" t="s">
        <v>110</v>
      </c>
    </row>
    <row r="21" spans="1:7" ht="15.75">
      <c r="A21" s="589">
        <v>45670</v>
      </c>
      <c r="B21" s="677" t="s">
        <v>294</v>
      </c>
      <c r="C21" s="478" t="s">
        <v>42</v>
      </c>
      <c r="D21" s="652" t="s">
        <v>129</v>
      </c>
      <c r="E21" s="652" t="s">
        <v>14</v>
      </c>
      <c r="F21" s="654" t="s">
        <v>33</v>
      </c>
      <c r="G21" s="47"/>
    </row>
    <row r="22" spans="1:7" ht="15.75">
      <c r="A22" s="589">
        <v>45671</v>
      </c>
      <c r="B22" s="70" t="s">
        <v>442</v>
      </c>
      <c r="C22" s="478" t="s">
        <v>42</v>
      </c>
      <c r="D22" s="652" t="s">
        <v>129</v>
      </c>
      <c r="E22" s="652" t="s">
        <v>14</v>
      </c>
      <c r="F22" s="654" t="s">
        <v>33</v>
      </c>
      <c r="G22" s="47"/>
    </row>
    <row r="23" spans="1:7" ht="15.75">
      <c r="A23" s="589">
        <v>45672</v>
      </c>
      <c r="B23" s="70" t="s">
        <v>293</v>
      </c>
      <c r="C23" s="478" t="s">
        <v>42</v>
      </c>
      <c r="D23" s="652" t="s">
        <v>129</v>
      </c>
      <c r="E23" s="652" t="s">
        <v>14</v>
      </c>
      <c r="F23" s="654" t="s">
        <v>130</v>
      </c>
      <c r="G23" s="47" t="s">
        <v>110</v>
      </c>
    </row>
    <row r="24" spans="1:7" ht="15.75">
      <c r="A24" s="589">
        <v>45673</v>
      </c>
      <c r="B24" s="70" t="s">
        <v>146</v>
      </c>
      <c r="C24" s="478" t="s">
        <v>42</v>
      </c>
      <c r="D24" s="652" t="s">
        <v>129</v>
      </c>
      <c r="E24" s="652" t="s">
        <v>14</v>
      </c>
      <c r="F24" s="654" t="s">
        <v>33</v>
      </c>
      <c r="G24" s="47"/>
    </row>
    <row r="25" spans="1:7" ht="15.75">
      <c r="A25" s="589">
        <v>45674</v>
      </c>
      <c r="B25" s="703" t="s">
        <v>184</v>
      </c>
      <c r="C25" s="481" t="s">
        <v>185</v>
      </c>
      <c r="D25" s="649" t="s">
        <v>350</v>
      </c>
      <c r="E25" s="649" t="s">
        <v>17</v>
      </c>
      <c r="F25" s="650" t="s">
        <v>14</v>
      </c>
      <c r="G25" s="651"/>
    </row>
    <row r="26" spans="1:7" ht="15.75">
      <c r="A26" s="589">
        <v>45675</v>
      </c>
      <c r="B26" s="70" t="s">
        <v>292</v>
      </c>
      <c r="C26" s="478" t="s">
        <v>42</v>
      </c>
      <c r="D26" s="652" t="s">
        <v>129</v>
      </c>
      <c r="E26" s="652" t="s">
        <v>109</v>
      </c>
      <c r="F26" s="654" t="s">
        <v>33</v>
      </c>
      <c r="G26" s="47" t="s">
        <v>93</v>
      </c>
    </row>
    <row r="27" spans="1:7" ht="15.75">
      <c r="A27" s="589">
        <v>45676</v>
      </c>
      <c r="B27" s="70" t="s">
        <v>473</v>
      </c>
      <c r="C27" s="478" t="s">
        <v>42</v>
      </c>
      <c r="D27" s="652" t="s">
        <v>33</v>
      </c>
      <c r="E27" s="652" t="s">
        <v>14</v>
      </c>
      <c r="F27" s="654" t="s">
        <v>33</v>
      </c>
      <c r="G27" s="47" t="s">
        <v>146</v>
      </c>
    </row>
    <row r="28" spans="1:7" ht="15.75">
      <c r="A28" s="589">
        <v>45677</v>
      </c>
      <c r="B28" s="70" t="s">
        <v>130</v>
      </c>
      <c r="C28" s="478" t="s">
        <v>42</v>
      </c>
      <c r="D28" s="652" t="s">
        <v>33</v>
      </c>
      <c r="E28" s="652" t="s">
        <v>14</v>
      </c>
      <c r="F28" s="654" t="s">
        <v>348</v>
      </c>
      <c r="G28" s="47" t="s">
        <v>146</v>
      </c>
    </row>
    <row r="29" spans="1:7" ht="15.75">
      <c r="A29" s="589">
        <v>45678</v>
      </c>
      <c r="B29" s="677" t="s">
        <v>294</v>
      </c>
      <c r="C29" s="478" t="s">
        <v>42</v>
      </c>
      <c r="D29" s="652" t="s">
        <v>129</v>
      </c>
      <c r="E29" s="652" t="s">
        <v>14</v>
      </c>
      <c r="F29" s="654" t="s">
        <v>33</v>
      </c>
      <c r="G29" s="47" t="s">
        <v>93</v>
      </c>
    </row>
    <row r="30" spans="1:7" ht="15.75">
      <c r="A30" s="589">
        <v>45679</v>
      </c>
      <c r="B30" s="70" t="s">
        <v>292</v>
      </c>
      <c r="C30" s="478" t="s">
        <v>42</v>
      </c>
      <c r="D30" s="652" t="s">
        <v>129</v>
      </c>
      <c r="E30" s="652" t="s">
        <v>14</v>
      </c>
      <c r="F30" s="654" t="s">
        <v>146</v>
      </c>
      <c r="G30" s="47"/>
    </row>
    <row r="31" spans="1:7" ht="15.75">
      <c r="A31" s="589">
        <v>45680</v>
      </c>
      <c r="B31" s="70" t="s">
        <v>293</v>
      </c>
      <c r="C31" s="478" t="s">
        <v>42</v>
      </c>
      <c r="D31" s="652" t="s">
        <v>129</v>
      </c>
      <c r="E31" s="652" t="s">
        <v>14</v>
      </c>
      <c r="F31" s="654" t="s">
        <v>33</v>
      </c>
      <c r="G31" s="47" t="s">
        <v>146</v>
      </c>
    </row>
    <row r="32" spans="1:7" ht="15.75">
      <c r="A32" s="589">
        <v>45681</v>
      </c>
      <c r="B32" s="651" t="s">
        <v>17</v>
      </c>
      <c r="C32" s="481" t="s">
        <v>185</v>
      </c>
      <c r="D32" s="649" t="s">
        <v>350</v>
      </c>
      <c r="E32" s="649" t="s">
        <v>17</v>
      </c>
      <c r="F32" s="650" t="s">
        <v>14</v>
      </c>
      <c r="G32" s="651" t="s">
        <v>457</v>
      </c>
    </row>
    <row r="33" spans="1:7" ht="15.75">
      <c r="A33" s="589">
        <v>45682</v>
      </c>
      <c r="B33" s="677" t="s">
        <v>184</v>
      </c>
      <c r="C33" s="478" t="s">
        <v>42</v>
      </c>
      <c r="D33" s="652" t="s">
        <v>129</v>
      </c>
      <c r="E33" s="652" t="s">
        <v>109</v>
      </c>
      <c r="F33" s="654" t="s">
        <v>33</v>
      </c>
      <c r="G33" s="47" t="s">
        <v>93</v>
      </c>
    </row>
    <row r="34" spans="1:7" ht="15.75">
      <c r="A34" s="589">
        <v>45683</v>
      </c>
      <c r="B34" s="70" t="s">
        <v>292</v>
      </c>
      <c r="C34" s="478" t="s">
        <v>42</v>
      </c>
      <c r="D34" s="652" t="s">
        <v>129</v>
      </c>
      <c r="E34" s="652" t="s">
        <v>14</v>
      </c>
      <c r="F34" s="654" t="s">
        <v>33</v>
      </c>
      <c r="G34" s="47" t="s">
        <v>93</v>
      </c>
    </row>
    <row r="35" spans="1:7" ht="15.75">
      <c r="A35" s="589">
        <v>45684</v>
      </c>
      <c r="B35" s="70" t="s">
        <v>293</v>
      </c>
      <c r="C35" s="478" t="s">
        <v>42</v>
      </c>
      <c r="D35" s="652" t="s">
        <v>129</v>
      </c>
      <c r="E35" s="652" t="s">
        <v>14</v>
      </c>
      <c r="F35" s="654" t="s">
        <v>33</v>
      </c>
      <c r="G35" s="47"/>
    </row>
    <row r="36" spans="1:7" ht="15.75">
      <c r="A36" s="589">
        <v>45685</v>
      </c>
      <c r="B36" s="70" t="s">
        <v>186</v>
      </c>
      <c r="C36" s="478" t="s">
        <v>42</v>
      </c>
      <c r="D36" s="652" t="s">
        <v>129</v>
      </c>
      <c r="E36" s="652" t="s">
        <v>14</v>
      </c>
      <c r="F36" s="654" t="s">
        <v>33</v>
      </c>
      <c r="G36" s="47" t="s">
        <v>93</v>
      </c>
    </row>
    <row r="37" spans="1:7" ht="15.75">
      <c r="A37" s="589">
        <v>45686</v>
      </c>
      <c r="B37" s="677" t="s">
        <v>294</v>
      </c>
      <c r="C37" s="478" t="s">
        <v>42</v>
      </c>
      <c r="D37" s="652" t="s">
        <v>129</v>
      </c>
      <c r="E37" s="652" t="s">
        <v>14</v>
      </c>
      <c r="F37" s="654" t="s">
        <v>33</v>
      </c>
      <c r="G37" s="47" t="s">
        <v>93</v>
      </c>
    </row>
    <row r="38" spans="1:7" ht="15.75">
      <c r="A38" s="589">
        <v>45687</v>
      </c>
      <c r="B38" s="70" t="s">
        <v>17</v>
      </c>
      <c r="C38" s="478" t="s">
        <v>42</v>
      </c>
      <c r="D38" s="652" t="s">
        <v>129</v>
      </c>
      <c r="E38" s="652" t="s">
        <v>14</v>
      </c>
      <c r="F38" s="654" t="s">
        <v>33</v>
      </c>
      <c r="G38" s="47" t="s">
        <v>146</v>
      </c>
    </row>
    <row r="39" spans="1:7" ht="15.75">
      <c r="A39" s="589">
        <v>45688</v>
      </c>
      <c r="B39" s="704" t="s">
        <v>130</v>
      </c>
      <c r="C39" s="705" t="s">
        <v>185</v>
      </c>
      <c r="D39" s="706" t="s">
        <v>350</v>
      </c>
      <c r="E39" s="706" t="s">
        <v>33</v>
      </c>
      <c r="F39" s="707" t="s">
        <v>14</v>
      </c>
      <c r="G39" s="704" t="s">
        <v>93</v>
      </c>
    </row>
    <row r="40" spans="1:7">
      <c r="A40" s="1254"/>
      <c r="B40" s="1218"/>
      <c r="C40" s="1218"/>
      <c r="D40" s="1218"/>
      <c r="E40" s="1218"/>
      <c r="F40" s="1218"/>
    </row>
    <row r="41" spans="1:7">
      <c r="A41" s="1147"/>
      <c r="B41" s="1147"/>
      <c r="C41" s="1147"/>
      <c r="D41" s="1147"/>
      <c r="E41" s="1147"/>
      <c r="F41" s="1147"/>
    </row>
    <row r="42" spans="1:7">
      <c r="A42" s="1147"/>
      <c r="B42" s="1147"/>
      <c r="C42" s="1147"/>
      <c r="D42" s="1147"/>
      <c r="E42" s="1147"/>
      <c r="F42" s="1147"/>
    </row>
    <row r="49" spans="1:10">
      <c r="F49" s="195"/>
    </row>
    <row r="50" spans="1:10">
      <c r="F50" s="195"/>
    </row>
    <row r="53" spans="1:10" ht="21">
      <c r="A53" s="1102" t="s">
        <v>474</v>
      </c>
      <c r="B53" s="1102"/>
      <c r="C53" s="1102"/>
      <c r="D53" s="1102"/>
      <c r="E53" s="1102"/>
      <c r="F53" s="1102"/>
    </row>
    <row r="54" spans="1:10" ht="21">
      <c r="B54" s="1235" t="s">
        <v>4</v>
      </c>
      <c r="C54" s="1236"/>
      <c r="D54" s="1236"/>
      <c r="E54" s="1236"/>
      <c r="F54" s="1236"/>
      <c r="G54" s="1237"/>
    </row>
    <row r="55" spans="1:10" ht="21">
      <c r="B55" s="620" t="s">
        <v>5</v>
      </c>
      <c r="C55" s="1238" t="s">
        <v>6</v>
      </c>
      <c r="D55" s="1278"/>
      <c r="E55" s="1239"/>
      <c r="F55" s="1279" t="s">
        <v>128</v>
      </c>
      <c r="G55" s="1280"/>
    </row>
    <row r="56" spans="1:10" ht="15.75">
      <c r="A56" s="589">
        <v>45658</v>
      </c>
      <c r="B56" s="678" t="s">
        <v>146</v>
      </c>
      <c r="C56" s="303" t="s">
        <v>459</v>
      </c>
      <c r="D56" s="304" t="s">
        <v>454</v>
      </c>
      <c r="E56" s="294"/>
      <c r="F56" s="1276"/>
      <c r="G56" s="1277"/>
    </row>
    <row r="57" spans="1:10" ht="15.75">
      <c r="A57" s="589">
        <v>45659</v>
      </c>
      <c r="B57" s="670" t="s">
        <v>130</v>
      </c>
      <c r="C57" s="671" t="s">
        <v>446</v>
      </c>
      <c r="D57" s="672" t="s">
        <v>33</v>
      </c>
      <c r="E57" s="373" t="s">
        <v>435</v>
      </c>
      <c r="F57" s="1228"/>
      <c r="G57" s="1193"/>
    </row>
    <row r="58" spans="1:10" ht="15.75">
      <c r="A58" s="589">
        <v>45660</v>
      </c>
      <c r="B58" s="674" t="s">
        <v>146</v>
      </c>
      <c r="C58" s="675" t="s">
        <v>446</v>
      </c>
      <c r="D58" s="676" t="s">
        <v>34</v>
      </c>
      <c r="E58" s="518" t="s">
        <v>73</v>
      </c>
      <c r="F58" s="1286"/>
      <c r="G58" s="1287"/>
    </row>
    <row r="59" spans="1:10" ht="15.75">
      <c r="A59" s="589">
        <v>45661</v>
      </c>
      <c r="B59" s="670" t="s">
        <v>146</v>
      </c>
      <c r="C59" s="671" t="s">
        <v>455</v>
      </c>
      <c r="D59" s="672" t="s">
        <v>454</v>
      </c>
      <c r="E59" s="373" t="s">
        <v>72</v>
      </c>
      <c r="F59" s="1228"/>
      <c r="G59" s="1193"/>
    </row>
    <row r="60" spans="1:10" ht="15.75">
      <c r="A60" s="589">
        <v>45662</v>
      </c>
      <c r="B60" s="678" t="s">
        <v>146</v>
      </c>
      <c r="C60" s="671" t="s">
        <v>459</v>
      </c>
      <c r="D60" s="672" t="s">
        <v>34</v>
      </c>
      <c r="E60" s="673" t="s">
        <v>456</v>
      </c>
      <c r="F60" s="1228"/>
      <c r="G60" s="1193"/>
      <c r="I60" s="708"/>
      <c r="J60" s="708"/>
    </row>
    <row r="61" spans="1:10" ht="15.75">
      <c r="A61" s="589">
        <v>45663</v>
      </c>
      <c r="B61" s="670" t="s">
        <v>130</v>
      </c>
      <c r="C61" s="671" t="s">
        <v>72</v>
      </c>
      <c r="D61" s="672" t="s">
        <v>458</v>
      </c>
      <c r="E61" s="373" t="s">
        <v>73</v>
      </c>
      <c r="F61" s="1228"/>
      <c r="G61" s="1193"/>
      <c r="I61" s="708"/>
      <c r="J61" s="708"/>
    </row>
    <row r="62" spans="1:10" ht="15.75">
      <c r="A62" s="589">
        <v>45664</v>
      </c>
      <c r="B62" s="670" t="s">
        <v>17</v>
      </c>
      <c r="C62" s="671" t="s">
        <v>146</v>
      </c>
      <c r="D62" s="672" t="s">
        <v>436</v>
      </c>
      <c r="E62" s="373" t="s">
        <v>475</v>
      </c>
      <c r="F62" s="1228"/>
      <c r="G62" s="1193"/>
      <c r="I62" s="708"/>
      <c r="J62" s="708"/>
    </row>
    <row r="63" spans="1:10" ht="15.75">
      <c r="A63" s="589">
        <v>45665</v>
      </c>
      <c r="B63" s="670" t="s">
        <v>146</v>
      </c>
      <c r="C63" s="671" t="s">
        <v>476</v>
      </c>
      <c r="D63" s="672" t="s">
        <v>435</v>
      </c>
      <c r="E63" s="373" t="s">
        <v>449</v>
      </c>
      <c r="F63" s="1228"/>
      <c r="G63" s="1193"/>
      <c r="I63" s="708"/>
      <c r="J63" s="708"/>
    </row>
    <row r="64" spans="1:10" ht="15.75">
      <c r="A64" s="589">
        <v>45666</v>
      </c>
      <c r="B64" s="678" t="s">
        <v>146</v>
      </c>
      <c r="C64" s="671" t="s">
        <v>446</v>
      </c>
      <c r="D64" s="672" t="s">
        <v>458</v>
      </c>
      <c r="E64" s="373" t="s">
        <v>181</v>
      </c>
      <c r="F64" s="1228"/>
      <c r="G64" s="1193"/>
      <c r="I64" s="708"/>
      <c r="J64" s="708"/>
    </row>
    <row r="65" spans="1:10" ht="15.75">
      <c r="A65" s="589">
        <v>45667</v>
      </c>
      <c r="B65" s="674" t="s">
        <v>130</v>
      </c>
      <c r="C65" s="675" t="s">
        <v>446</v>
      </c>
      <c r="D65" s="676" t="s">
        <v>34</v>
      </c>
      <c r="E65" s="518" t="s">
        <v>436</v>
      </c>
      <c r="F65" s="1286"/>
      <c r="G65" s="1287"/>
      <c r="I65" s="708"/>
      <c r="J65" s="708"/>
    </row>
    <row r="66" spans="1:10" ht="15.75">
      <c r="A66" s="589">
        <v>45668</v>
      </c>
      <c r="B66" s="670" t="s">
        <v>17</v>
      </c>
      <c r="C66" s="671" t="s">
        <v>455</v>
      </c>
      <c r="D66" s="672" t="s">
        <v>453</v>
      </c>
      <c r="E66" s="373"/>
      <c r="F66" s="1228"/>
      <c r="G66" s="1193"/>
      <c r="I66" s="708"/>
      <c r="J66" s="708"/>
    </row>
    <row r="67" spans="1:10" ht="15.75">
      <c r="A67" s="589">
        <v>45669</v>
      </c>
      <c r="B67" s="670" t="s">
        <v>17</v>
      </c>
      <c r="C67" s="671" t="s">
        <v>33</v>
      </c>
      <c r="D67" s="672" t="s">
        <v>459</v>
      </c>
      <c r="E67" s="373" t="s">
        <v>456</v>
      </c>
      <c r="F67" s="1228"/>
      <c r="G67" s="1193"/>
      <c r="I67" s="708"/>
      <c r="J67" s="708"/>
    </row>
    <row r="68" spans="1:10" ht="15.75">
      <c r="A68" s="589">
        <v>45670</v>
      </c>
      <c r="B68" s="678" t="s">
        <v>146</v>
      </c>
      <c r="C68" s="671" t="s">
        <v>455</v>
      </c>
      <c r="D68" s="672" t="s">
        <v>477</v>
      </c>
      <c r="E68" s="373" t="s">
        <v>72</v>
      </c>
      <c r="F68" s="1228"/>
      <c r="G68" s="1193"/>
      <c r="I68" s="708"/>
      <c r="J68" s="708"/>
    </row>
    <row r="69" spans="1:10" ht="15.75">
      <c r="A69" s="589">
        <v>45671</v>
      </c>
      <c r="B69" s="670" t="s">
        <v>130</v>
      </c>
      <c r="C69" s="671" t="s">
        <v>34</v>
      </c>
      <c r="D69" s="672" t="s">
        <v>436</v>
      </c>
      <c r="E69" s="373" t="s">
        <v>475</v>
      </c>
      <c r="F69" s="1228"/>
      <c r="G69" s="1193"/>
      <c r="I69" s="708"/>
      <c r="J69" s="708"/>
    </row>
    <row r="70" spans="1:10" ht="15.75">
      <c r="A70" s="589">
        <v>45672</v>
      </c>
      <c r="B70" s="670" t="s">
        <v>17</v>
      </c>
      <c r="C70" s="671" t="s">
        <v>476</v>
      </c>
      <c r="D70" s="672" t="s">
        <v>455</v>
      </c>
      <c r="E70" s="373" t="s">
        <v>73</v>
      </c>
      <c r="F70" s="1228" t="s">
        <v>129</v>
      </c>
      <c r="G70" s="1193"/>
      <c r="I70" s="708"/>
      <c r="J70" s="708"/>
    </row>
    <row r="71" spans="1:10" ht="15.75">
      <c r="A71" s="589">
        <v>45673</v>
      </c>
      <c r="B71" s="670" t="s">
        <v>146</v>
      </c>
      <c r="C71" s="671" t="s">
        <v>446</v>
      </c>
      <c r="D71" s="672" t="s">
        <v>458</v>
      </c>
      <c r="E71" s="373" t="s">
        <v>17</v>
      </c>
      <c r="F71" s="1228" t="s">
        <v>129</v>
      </c>
      <c r="G71" s="1193"/>
      <c r="I71" s="708"/>
      <c r="J71" s="708"/>
    </row>
    <row r="72" spans="1:10" ht="15.75">
      <c r="A72" s="589">
        <v>45674</v>
      </c>
      <c r="B72" s="679" t="s">
        <v>146</v>
      </c>
      <c r="C72" s="675" t="s">
        <v>446</v>
      </c>
      <c r="D72" s="676" t="s">
        <v>34</v>
      </c>
      <c r="E72" s="397" t="s">
        <v>436</v>
      </c>
      <c r="F72" s="1286"/>
      <c r="G72" s="1287"/>
      <c r="I72" s="708"/>
      <c r="J72" s="708"/>
    </row>
    <row r="73" spans="1:10" ht="15.75">
      <c r="A73" s="589">
        <v>45675</v>
      </c>
      <c r="B73" s="670" t="s">
        <v>130</v>
      </c>
      <c r="C73" s="671" t="s">
        <v>455</v>
      </c>
      <c r="D73" s="672" t="s">
        <v>17</v>
      </c>
      <c r="E73" s="373" t="s">
        <v>72</v>
      </c>
      <c r="F73" s="1228"/>
      <c r="G73" s="1193"/>
      <c r="I73" s="709"/>
      <c r="J73" s="709"/>
    </row>
    <row r="74" spans="1:10" ht="15.75">
      <c r="A74" s="589">
        <v>45676</v>
      </c>
      <c r="B74" s="670" t="s">
        <v>17</v>
      </c>
      <c r="C74" s="671" t="s">
        <v>476</v>
      </c>
      <c r="D74" s="672" t="s">
        <v>453</v>
      </c>
      <c r="E74" s="373" t="s">
        <v>33</v>
      </c>
      <c r="F74" s="1228"/>
      <c r="G74" s="1193"/>
      <c r="I74" s="708"/>
      <c r="J74" s="708"/>
    </row>
    <row r="75" spans="1:10" ht="15.75">
      <c r="A75" s="589">
        <v>45677</v>
      </c>
      <c r="B75" s="670" t="s">
        <v>130</v>
      </c>
      <c r="C75" s="671" t="s">
        <v>109</v>
      </c>
      <c r="D75" s="672" t="s">
        <v>458</v>
      </c>
      <c r="E75" s="373" t="s">
        <v>449</v>
      </c>
      <c r="F75" s="1228"/>
      <c r="G75" s="1193"/>
      <c r="I75" s="708"/>
      <c r="J75" s="708"/>
    </row>
    <row r="76" spans="1:10" ht="15.75">
      <c r="A76" s="589">
        <v>45678</v>
      </c>
      <c r="B76" s="678" t="s">
        <v>146</v>
      </c>
      <c r="C76" s="671" t="s">
        <v>34</v>
      </c>
      <c r="D76" s="672" t="s">
        <v>436</v>
      </c>
      <c r="E76" s="373" t="s">
        <v>475</v>
      </c>
      <c r="F76" s="1228"/>
      <c r="G76" s="1193"/>
      <c r="I76" s="708"/>
      <c r="J76" s="708"/>
    </row>
    <row r="77" spans="1:10" ht="15.75">
      <c r="A77" s="589">
        <v>45679</v>
      </c>
      <c r="B77" s="670" t="s">
        <v>130</v>
      </c>
      <c r="C77" s="680" t="s">
        <v>33</v>
      </c>
      <c r="D77" s="681" t="s">
        <v>455</v>
      </c>
      <c r="E77" s="392" t="s">
        <v>17</v>
      </c>
      <c r="F77" s="1228"/>
      <c r="G77" s="1193"/>
      <c r="I77" s="708"/>
      <c r="J77" s="708"/>
    </row>
    <row r="78" spans="1:10" ht="15.75">
      <c r="A78" s="589">
        <v>45680</v>
      </c>
      <c r="B78" s="670" t="s">
        <v>17</v>
      </c>
      <c r="C78" s="671" t="s">
        <v>446</v>
      </c>
      <c r="D78" s="672" t="s">
        <v>458</v>
      </c>
      <c r="E78" s="373" t="s">
        <v>453</v>
      </c>
      <c r="F78" s="1228"/>
      <c r="G78" s="1193"/>
      <c r="I78" s="708"/>
      <c r="J78" s="708"/>
    </row>
    <row r="79" spans="1:10" ht="15.75">
      <c r="A79" s="589">
        <v>45681</v>
      </c>
      <c r="B79" s="674" t="s">
        <v>146</v>
      </c>
      <c r="C79" s="675" t="s">
        <v>446</v>
      </c>
      <c r="D79" s="676" t="s">
        <v>34</v>
      </c>
      <c r="E79" s="518" t="s">
        <v>436</v>
      </c>
      <c r="F79" s="1286"/>
      <c r="G79" s="1287"/>
      <c r="I79" s="708"/>
      <c r="J79" s="708"/>
    </row>
    <row r="80" spans="1:10" ht="15.75">
      <c r="A80" s="589">
        <v>45682</v>
      </c>
      <c r="B80" s="678" t="s">
        <v>146</v>
      </c>
      <c r="C80" s="671" t="s">
        <v>455</v>
      </c>
      <c r="D80" s="672" t="s">
        <v>17</v>
      </c>
      <c r="E80" s="373" t="s">
        <v>72</v>
      </c>
      <c r="F80" s="1228"/>
      <c r="G80" s="1193"/>
      <c r="I80" s="708"/>
      <c r="J80" s="708"/>
    </row>
    <row r="81" spans="1:10" ht="15.75">
      <c r="A81" s="589">
        <v>45683</v>
      </c>
      <c r="B81" s="670" t="s">
        <v>130</v>
      </c>
      <c r="C81" s="671" t="s">
        <v>476</v>
      </c>
      <c r="D81" s="672" t="s">
        <v>34</v>
      </c>
      <c r="E81" s="373"/>
      <c r="F81" s="1228" t="s">
        <v>42</v>
      </c>
      <c r="G81" s="1193"/>
      <c r="I81" s="708"/>
      <c r="J81" s="708"/>
    </row>
    <row r="82" spans="1:10" ht="15.75">
      <c r="A82" s="589">
        <v>45684</v>
      </c>
      <c r="B82" s="670" t="s">
        <v>17</v>
      </c>
      <c r="C82" s="671" t="s">
        <v>455</v>
      </c>
      <c r="D82" s="672" t="s">
        <v>458</v>
      </c>
      <c r="E82" s="373" t="s">
        <v>453</v>
      </c>
      <c r="F82" s="1228" t="s">
        <v>42</v>
      </c>
      <c r="G82" s="1193"/>
      <c r="I82" s="708"/>
      <c r="J82" s="708"/>
    </row>
    <row r="83" spans="1:10" ht="15.75">
      <c r="A83" s="589">
        <v>45685</v>
      </c>
      <c r="B83" s="670" t="s">
        <v>130</v>
      </c>
      <c r="C83" s="671" t="s">
        <v>436</v>
      </c>
      <c r="D83" s="672" t="s">
        <v>449</v>
      </c>
      <c r="E83" s="373" t="s">
        <v>475</v>
      </c>
      <c r="F83" s="1228"/>
      <c r="G83" s="1193"/>
      <c r="I83" s="708"/>
      <c r="J83" s="708"/>
    </row>
    <row r="84" spans="1:10" ht="15.75">
      <c r="A84" s="589">
        <v>45686</v>
      </c>
      <c r="B84" s="678" t="s">
        <v>146</v>
      </c>
      <c r="C84" s="671" t="s">
        <v>476</v>
      </c>
      <c r="D84" s="672" t="s">
        <v>17</v>
      </c>
      <c r="E84" s="373" t="s">
        <v>109</v>
      </c>
      <c r="F84" s="1228"/>
      <c r="G84" s="1193"/>
      <c r="I84" s="708"/>
      <c r="J84" s="708"/>
    </row>
    <row r="85" spans="1:10" ht="15.75">
      <c r="A85" s="589">
        <v>45687</v>
      </c>
      <c r="B85" s="670" t="s">
        <v>17</v>
      </c>
      <c r="C85" s="671" t="s">
        <v>446</v>
      </c>
      <c r="D85" s="672" t="s">
        <v>458</v>
      </c>
      <c r="E85" s="373" t="s">
        <v>33</v>
      </c>
      <c r="F85" s="1228" t="s">
        <v>129</v>
      </c>
      <c r="G85" s="1193"/>
    </row>
    <row r="86" spans="1:10" ht="15.75">
      <c r="A86" s="589">
        <v>45688</v>
      </c>
      <c r="B86" s="710" t="s">
        <v>130</v>
      </c>
      <c r="C86" s="711" t="s">
        <v>446</v>
      </c>
      <c r="D86" s="712" t="s">
        <v>350</v>
      </c>
      <c r="E86" s="596" t="s">
        <v>453</v>
      </c>
      <c r="F86" s="1284"/>
      <c r="G86" s="1285"/>
    </row>
    <row r="87" spans="1:10" ht="15.75">
      <c r="A87" s="713"/>
      <c r="B87" s="714" t="s">
        <v>158</v>
      </c>
      <c r="C87" s="633" t="s">
        <v>478</v>
      </c>
      <c r="D87" s="634" t="s">
        <v>479</v>
      </c>
    </row>
    <row r="88" spans="1:10" ht="15.75">
      <c r="A88" s="635" t="s">
        <v>257</v>
      </c>
      <c r="B88" s="636"/>
      <c r="C88" s="637" t="s">
        <v>480</v>
      </c>
      <c r="D88" s="638"/>
    </row>
    <row r="89" spans="1:10">
      <c r="A89" s="44" t="s">
        <v>260</v>
      </c>
      <c r="B89" s="1224" t="s">
        <v>481</v>
      </c>
      <c r="C89" s="1162"/>
      <c r="D89" s="1225"/>
    </row>
    <row r="90" spans="1:10">
      <c r="A90" s="44" t="s">
        <v>262</v>
      </c>
      <c r="B90" s="1224"/>
      <c r="C90" s="1162"/>
      <c r="D90" s="1225"/>
    </row>
    <row r="91" spans="1:10">
      <c r="A91" s="44" t="s">
        <v>264</v>
      </c>
      <c r="B91" s="1224" t="s">
        <v>482</v>
      </c>
      <c r="C91" s="1162"/>
      <c r="D91" s="1225"/>
    </row>
    <row r="92" spans="1:10">
      <c r="A92" s="44" t="s">
        <v>265</v>
      </c>
      <c r="B92" s="1224"/>
      <c r="C92" s="1162"/>
      <c r="D92" s="1225"/>
    </row>
    <row r="93" spans="1:10">
      <c r="A93" s="63" t="s">
        <v>483</v>
      </c>
      <c r="B93" s="1224" t="s">
        <v>484</v>
      </c>
      <c r="C93" s="1162"/>
      <c r="D93" s="1225"/>
    </row>
    <row r="94" spans="1:10">
      <c r="A94" s="44" t="s">
        <v>267</v>
      </c>
      <c r="B94" s="315"/>
      <c r="C94" s="412" t="s">
        <v>485</v>
      </c>
      <c r="D94" s="413"/>
    </row>
    <row r="95" spans="1:10">
      <c r="A95" s="44" t="s">
        <v>269</v>
      </c>
      <c r="B95" s="315"/>
      <c r="C95" s="412" t="s">
        <v>486</v>
      </c>
      <c r="D95" s="413"/>
    </row>
    <row r="96" spans="1:10">
      <c r="A96" s="44" t="s">
        <v>271</v>
      </c>
      <c r="B96" s="315"/>
      <c r="C96" s="412" t="s">
        <v>487</v>
      </c>
      <c r="D96" s="413"/>
    </row>
    <row r="97" spans="1:4">
      <c r="A97" s="44" t="s">
        <v>275</v>
      </c>
      <c r="B97" s="315" t="s">
        <v>488</v>
      </c>
      <c r="C97" s="1161" t="s">
        <v>427</v>
      </c>
      <c r="D97" s="1225"/>
    </row>
    <row r="98" spans="1:4">
      <c r="A98" s="44" t="s">
        <v>278</v>
      </c>
      <c r="B98" s="315" t="s">
        <v>426</v>
      </c>
      <c r="C98" s="412" t="s">
        <v>427</v>
      </c>
      <c r="D98" s="413"/>
    </row>
    <row r="99" spans="1:4">
      <c r="A99" s="44" t="s">
        <v>394</v>
      </c>
      <c r="B99" s="315"/>
      <c r="C99" s="412" t="s">
        <v>425</v>
      </c>
      <c r="D99" s="413"/>
    </row>
    <row r="100" spans="1:4">
      <c r="A100" s="44" t="s">
        <v>284</v>
      </c>
      <c r="B100" s="315" t="s">
        <v>426</v>
      </c>
      <c r="C100" s="412" t="s">
        <v>489</v>
      </c>
      <c r="D100" s="413"/>
    </row>
    <row r="101" spans="1:4">
      <c r="A101" s="699" t="s">
        <v>285</v>
      </c>
      <c r="B101" s="315"/>
      <c r="C101" s="412" t="s">
        <v>490</v>
      </c>
      <c r="D101" s="413"/>
    </row>
    <row r="102" spans="1:4">
      <c r="A102" s="63" t="s">
        <v>491</v>
      </c>
      <c r="B102" s="331"/>
      <c r="C102" s="422" t="s">
        <v>490</v>
      </c>
      <c r="D102" s="423"/>
    </row>
    <row r="103" spans="1:4">
      <c r="A103" s="68" t="s">
        <v>288</v>
      </c>
      <c r="B103" s="424"/>
      <c r="C103" s="425" t="s">
        <v>492</v>
      </c>
      <c r="D103" s="426"/>
    </row>
  </sheetData>
  <mergeCells count="50">
    <mergeCell ref="C5:D5"/>
    <mergeCell ref="B6:F6"/>
    <mergeCell ref="C7:F7"/>
    <mergeCell ref="A40:F40"/>
    <mergeCell ref="A41:F41"/>
    <mergeCell ref="A42:F42"/>
    <mergeCell ref="A53:F53"/>
    <mergeCell ref="B54:G54"/>
    <mergeCell ref="C55:E55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7:G77"/>
    <mergeCell ref="F78:G78"/>
    <mergeCell ref="F79:G79"/>
    <mergeCell ref="F80:G80"/>
    <mergeCell ref="F71:G71"/>
    <mergeCell ref="F72:G72"/>
    <mergeCell ref="F73:G73"/>
    <mergeCell ref="F74:G74"/>
    <mergeCell ref="F75:G75"/>
    <mergeCell ref="B93:D93"/>
    <mergeCell ref="C97:D97"/>
    <mergeCell ref="A1:A4"/>
    <mergeCell ref="A6:A8"/>
    <mergeCell ref="B1:F4"/>
    <mergeCell ref="F86:G86"/>
    <mergeCell ref="B89:D89"/>
    <mergeCell ref="B90:D90"/>
    <mergeCell ref="B91:D91"/>
    <mergeCell ref="B92:D92"/>
    <mergeCell ref="F81:G81"/>
    <mergeCell ref="F82:G82"/>
    <mergeCell ref="F83:G83"/>
    <mergeCell ref="F84:G84"/>
    <mergeCell ref="F85:G85"/>
    <mergeCell ref="F76:G76"/>
  </mergeCells>
  <pageMargins left="0" right="0" top="0" bottom="0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3"/>
  <sheetViews>
    <sheetView topLeftCell="A4" workbookViewId="0">
      <selection activeCell="C103" sqref="C103"/>
    </sheetView>
  </sheetViews>
  <sheetFormatPr baseColWidth="10" defaultColWidth="11" defaultRowHeight="15"/>
  <cols>
    <col min="1" max="1" width="28.42578125" customWidth="1"/>
    <col min="2" max="2" width="17.140625" customWidth="1"/>
    <col min="7" max="7" width="7.85546875" customWidth="1"/>
  </cols>
  <sheetData>
    <row r="1" spans="1:7">
      <c r="A1" s="1083"/>
      <c r="B1" s="1090" t="s">
        <v>493</v>
      </c>
      <c r="C1" s="1094"/>
      <c r="D1" s="1094"/>
      <c r="E1" s="1094"/>
      <c r="F1" s="1094"/>
    </row>
    <row r="2" spans="1:7">
      <c r="A2" s="1083"/>
      <c r="B2" s="1094"/>
      <c r="C2" s="1094"/>
      <c r="D2" s="1094"/>
      <c r="E2" s="1094"/>
      <c r="F2" s="1094"/>
    </row>
    <row r="3" spans="1:7">
      <c r="A3" s="1083"/>
      <c r="B3" s="1094"/>
      <c r="C3" s="1094"/>
      <c r="D3" s="1094"/>
      <c r="E3" s="1094"/>
      <c r="F3" s="1094"/>
    </row>
    <row r="4" spans="1:7">
      <c r="A4" s="1083"/>
      <c r="B4" s="1094"/>
      <c r="C4" s="1094"/>
      <c r="D4" s="1094"/>
      <c r="E4" s="1094"/>
      <c r="F4" s="1094"/>
    </row>
    <row r="5" spans="1:7" ht="15.75">
      <c r="A5" s="431"/>
      <c r="B5" s="431"/>
      <c r="C5" s="1126">
        <v>2025</v>
      </c>
      <c r="D5" s="1126"/>
      <c r="E5" s="2"/>
      <c r="F5" s="432"/>
    </row>
    <row r="6" spans="1:7" ht="15.75">
      <c r="A6" s="1134" t="s">
        <v>2</v>
      </c>
      <c r="B6" s="1138" t="s">
        <v>40</v>
      </c>
      <c r="C6" s="1139"/>
      <c r="D6" s="1139"/>
      <c r="E6" s="1139"/>
      <c r="F6" s="1141"/>
    </row>
    <row r="7" spans="1:7" ht="15.75">
      <c r="A7" s="1135"/>
      <c r="B7" s="604" t="s">
        <v>5</v>
      </c>
      <c r="C7" s="1281" t="s">
        <v>6</v>
      </c>
      <c r="D7" s="1282"/>
      <c r="E7" s="1282"/>
      <c r="F7" s="1283"/>
    </row>
    <row r="8" spans="1:7" ht="15.75">
      <c r="A8" s="1275"/>
      <c r="B8" s="605" t="s">
        <v>178</v>
      </c>
      <c r="C8" s="606" t="s">
        <v>8</v>
      </c>
      <c r="D8" s="606" t="s">
        <v>9</v>
      </c>
      <c r="E8" s="606" t="s">
        <v>10</v>
      </c>
      <c r="F8" s="607" t="s">
        <v>7</v>
      </c>
      <c r="G8" s="640" t="s">
        <v>434</v>
      </c>
    </row>
    <row r="9" spans="1:7" ht="15.75">
      <c r="A9" s="589">
        <v>45689</v>
      </c>
      <c r="B9" s="641" t="s">
        <v>494</v>
      </c>
      <c r="C9" s="474" t="s">
        <v>42</v>
      </c>
      <c r="D9" s="642" t="s">
        <v>129</v>
      </c>
      <c r="E9" s="642" t="s">
        <v>109</v>
      </c>
      <c r="F9" s="643" t="s">
        <v>33</v>
      </c>
      <c r="G9" s="644"/>
    </row>
    <row r="10" spans="1:7" ht="15.75">
      <c r="A10" s="589">
        <v>45690</v>
      </c>
      <c r="B10" s="645" t="s">
        <v>495</v>
      </c>
      <c r="C10" s="474" t="s">
        <v>42</v>
      </c>
      <c r="D10" s="642" t="s">
        <v>129</v>
      </c>
      <c r="E10" s="642" t="s">
        <v>14</v>
      </c>
      <c r="F10" s="643" t="s">
        <v>33</v>
      </c>
      <c r="G10" s="646" t="s">
        <v>459</v>
      </c>
    </row>
    <row r="11" spans="1:7" ht="15.75">
      <c r="A11" s="589">
        <v>45691</v>
      </c>
      <c r="B11" s="645" t="s">
        <v>496</v>
      </c>
      <c r="C11" s="474" t="s">
        <v>42</v>
      </c>
      <c r="D11" s="642" t="s">
        <v>129</v>
      </c>
      <c r="E11" s="642" t="s">
        <v>14</v>
      </c>
      <c r="F11" s="643" t="s">
        <v>33</v>
      </c>
      <c r="G11" s="70" t="s">
        <v>110</v>
      </c>
    </row>
    <row r="12" spans="1:7" ht="15.75">
      <c r="A12" s="589">
        <v>45692</v>
      </c>
      <c r="B12" s="645" t="s">
        <v>497</v>
      </c>
      <c r="C12" s="474" t="s">
        <v>42</v>
      </c>
      <c r="D12" s="642" t="s">
        <v>129</v>
      </c>
      <c r="E12" s="642" t="s">
        <v>14</v>
      </c>
      <c r="F12" s="643" t="s">
        <v>33</v>
      </c>
      <c r="G12" s="70" t="s">
        <v>110</v>
      </c>
    </row>
    <row r="13" spans="1:7" ht="15.75">
      <c r="A13" s="589">
        <v>45693</v>
      </c>
      <c r="B13" s="641" t="s">
        <v>498</v>
      </c>
      <c r="C13" s="474" t="s">
        <v>42</v>
      </c>
      <c r="D13" s="642" t="s">
        <v>129</v>
      </c>
      <c r="E13" s="642" t="s">
        <v>14</v>
      </c>
      <c r="F13" s="643" t="s">
        <v>33</v>
      </c>
      <c r="G13" s="70" t="s">
        <v>110</v>
      </c>
    </row>
    <row r="14" spans="1:7" ht="15.75">
      <c r="A14" s="589">
        <v>45694</v>
      </c>
      <c r="B14" s="645" t="s">
        <v>495</v>
      </c>
      <c r="C14" s="474" t="s">
        <v>42</v>
      </c>
      <c r="D14" s="642" t="s">
        <v>21</v>
      </c>
      <c r="E14" s="642" t="s">
        <v>14</v>
      </c>
      <c r="F14" s="643" t="s">
        <v>33</v>
      </c>
      <c r="G14" s="70" t="s">
        <v>110</v>
      </c>
    </row>
    <row r="15" spans="1:7" ht="15.75">
      <c r="A15" s="589">
        <v>45695</v>
      </c>
      <c r="B15" s="647" t="s">
        <v>499</v>
      </c>
      <c r="C15" s="648" t="s">
        <v>185</v>
      </c>
      <c r="D15" s="649" t="s">
        <v>350</v>
      </c>
      <c r="E15" s="649" t="s">
        <v>17</v>
      </c>
      <c r="F15" s="650" t="s">
        <v>14</v>
      </c>
      <c r="G15" s="651" t="s">
        <v>146</v>
      </c>
    </row>
    <row r="16" spans="1:7" ht="15.75">
      <c r="A16" s="589">
        <v>45696</v>
      </c>
      <c r="B16" s="645" t="s">
        <v>497</v>
      </c>
      <c r="C16" s="430" t="s">
        <v>42</v>
      </c>
      <c r="D16" s="652" t="s">
        <v>129</v>
      </c>
      <c r="E16" s="653" t="s">
        <v>109</v>
      </c>
      <c r="F16" s="654" t="s">
        <v>33</v>
      </c>
      <c r="G16" s="70"/>
    </row>
    <row r="17" spans="1:7" ht="15.75">
      <c r="A17" s="589">
        <v>45697</v>
      </c>
      <c r="B17" s="641" t="s">
        <v>500</v>
      </c>
      <c r="C17" s="430" t="s">
        <v>42</v>
      </c>
      <c r="D17" s="652" t="s">
        <v>129</v>
      </c>
      <c r="E17" s="653" t="s">
        <v>14</v>
      </c>
      <c r="F17" s="654" t="s">
        <v>33</v>
      </c>
      <c r="G17" s="70" t="s">
        <v>110</v>
      </c>
    </row>
    <row r="18" spans="1:7" ht="15.75">
      <c r="A18" s="589">
        <v>45698</v>
      </c>
      <c r="B18" s="645" t="s">
        <v>501</v>
      </c>
      <c r="C18" s="430" t="s">
        <v>42</v>
      </c>
      <c r="D18" s="652" t="s">
        <v>129</v>
      </c>
      <c r="E18" s="653" t="s">
        <v>14</v>
      </c>
      <c r="F18" s="654" t="s">
        <v>33</v>
      </c>
      <c r="G18" s="70" t="s">
        <v>110</v>
      </c>
    </row>
    <row r="19" spans="1:7" ht="15.75">
      <c r="A19" s="589">
        <v>45699</v>
      </c>
      <c r="B19" s="645" t="s">
        <v>496</v>
      </c>
      <c r="C19" s="430" t="s">
        <v>42</v>
      </c>
      <c r="D19" s="652" t="s">
        <v>129</v>
      </c>
      <c r="E19" s="653" t="s">
        <v>14</v>
      </c>
      <c r="F19" s="654" t="s">
        <v>33</v>
      </c>
      <c r="G19" s="70" t="s">
        <v>110</v>
      </c>
    </row>
    <row r="20" spans="1:7" ht="15.75">
      <c r="A20" s="589">
        <v>45700</v>
      </c>
      <c r="B20" s="645" t="s">
        <v>497</v>
      </c>
      <c r="C20" s="430" t="s">
        <v>42</v>
      </c>
      <c r="D20" s="652" t="s">
        <v>129</v>
      </c>
      <c r="E20" s="653" t="s">
        <v>14</v>
      </c>
      <c r="F20" s="654" t="s">
        <v>33</v>
      </c>
      <c r="G20" s="70" t="s">
        <v>110</v>
      </c>
    </row>
    <row r="21" spans="1:7" ht="15.75">
      <c r="A21" s="589">
        <v>45701</v>
      </c>
      <c r="B21" s="641" t="s">
        <v>502</v>
      </c>
      <c r="C21" s="430" t="s">
        <v>42</v>
      </c>
      <c r="D21" s="652" t="s">
        <v>129</v>
      </c>
      <c r="E21" s="653" t="s">
        <v>14</v>
      </c>
      <c r="F21" s="654" t="s">
        <v>33</v>
      </c>
      <c r="G21" s="70" t="s">
        <v>110</v>
      </c>
    </row>
    <row r="22" spans="1:7" ht="15.75">
      <c r="A22" s="589">
        <v>45702</v>
      </c>
      <c r="B22" s="647" t="s">
        <v>499</v>
      </c>
      <c r="C22" s="481" t="s">
        <v>185</v>
      </c>
      <c r="D22" s="649" t="s">
        <v>350</v>
      </c>
      <c r="E22" s="649" t="s">
        <v>17</v>
      </c>
      <c r="F22" s="650" t="s">
        <v>14</v>
      </c>
      <c r="G22" s="651" t="s">
        <v>146</v>
      </c>
    </row>
    <row r="23" spans="1:7" ht="15.75">
      <c r="A23" s="589">
        <v>45703</v>
      </c>
      <c r="B23" s="645" t="s">
        <v>503</v>
      </c>
      <c r="C23" s="478" t="s">
        <v>42</v>
      </c>
      <c r="D23" s="652" t="s">
        <v>163</v>
      </c>
      <c r="E23" s="652" t="s">
        <v>109</v>
      </c>
      <c r="F23" s="654" t="s">
        <v>33</v>
      </c>
      <c r="G23" s="70"/>
    </row>
    <row r="24" spans="1:7" ht="15.75">
      <c r="A24" s="589">
        <v>45704</v>
      </c>
      <c r="B24" s="645" t="s">
        <v>495</v>
      </c>
      <c r="C24" s="478" t="s">
        <v>42</v>
      </c>
      <c r="D24" s="652" t="s">
        <v>129</v>
      </c>
      <c r="E24" s="652" t="s">
        <v>163</v>
      </c>
      <c r="F24" s="654" t="s">
        <v>33</v>
      </c>
      <c r="G24" s="70" t="s">
        <v>17</v>
      </c>
    </row>
    <row r="25" spans="1:7" ht="15.75">
      <c r="A25" s="589">
        <v>45705</v>
      </c>
      <c r="B25" s="641" t="s">
        <v>504</v>
      </c>
      <c r="C25" s="478" t="s">
        <v>42</v>
      </c>
      <c r="D25" s="652" t="s">
        <v>21</v>
      </c>
      <c r="E25" s="652" t="s">
        <v>14</v>
      </c>
      <c r="F25" s="654" t="s">
        <v>33</v>
      </c>
      <c r="G25" s="70" t="s">
        <v>110</v>
      </c>
    </row>
    <row r="26" spans="1:7" ht="15.75">
      <c r="A26" s="589">
        <v>45706</v>
      </c>
      <c r="B26" s="645" t="s">
        <v>402</v>
      </c>
      <c r="C26" s="478" t="s">
        <v>42</v>
      </c>
      <c r="D26" s="652" t="s">
        <v>129</v>
      </c>
      <c r="E26" s="652" t="s">
        <v>14</v>
      </c>
      <c r="F26" s="654" t="s">
        <v>33</v>
      </c>
      <c r="G26" s="70" t="s">
        <v>110</v>
      </c>
    </row>
    <row r="27" spans="1:7" ht="15.75">
      <c r="A27" s="589">
        <v>45707</v>
      </c>
      <c r="B27" s="645" t="s">
        <v>505</v>
      </c>
      <c r="C27" s="478" t="s">
        <v>42</v>
      </c>
      <c r="D27" s="652" t="s">
        <v>129</v>
      </c>
      <c r="E27" s="652" t="s">
        <v>14</v>
      </c>
      <c r="F27" s="654" t="s">
        <v>33</v>
      </c>
      <c r="G27" s="70" t="s">
        <v>110</v>
      </c>
    </row>
    <row r="28" spans="1:7" ht="15.75">
      <c r="A28" s="589">
        <v>45708</v>
      </c>
      <c r="B28" s="645" t="s">
        <v>407</v>
      </c>
      <c r="C28" s="478" t="s">
        <v>42</v>
      </c>
      <c r="D28" s="652" t="s">
        <v>129</v>
      </c>
      <c r="E28" s="652" t="s">
        <v>14</v>
      </c>
      <c r="F28" s="654" t="s">
        <v>33</v>
      </c>
      <c r="G28" s="70" t="s">
        <v>110</v>
      </c>
    </row>
    <row r="29" spans="1:7" ht="15.75">
      <c r="A29" s="589">
        <v>45709</v>
      </c>
      <c r="B29" s="655" t="s">
        <v>506</v>
      </c>
      <c r="C29" s="481" t="s">
        <v>185</v>
      </c>
      <c r="D29" s="649" t="s">
        <v>350</v>
      </c>
      <c r="E29" s="649" t="s">
        <v>17</v>
      </c>
      <c r="F29" s="650" t="s">
        <v>507</v>
      </c>
      <c r="G29" s="651" t="s">
        <v>21</v>
      </c>
    </row>
    <row r="30" spans="1:7" ht="15.75">
      <c r="A30" s="589">
        <v>45710</v>
      </c>
      <c r="B30" s="645" t="s">
        <v>473</v>
      </c>
      <c r="C30" s="478" t="s">
        <v>42</v>
      </c>
      <c r="D30" s="652" t="s">
        <v>163</v>
      </c>
      <c r="E30" s="652" t="s">
        <v>109</v>
      </c>
      <c r="F30" s="654" t="s">
        <v>33</v>
      </c>
      <c r="G30" s="70"/>
    </row>
    <row r="31" spans="1:7" ht="15.75">
      <c r="A31" s="589">
        <v>45711</v>
      </c>
      <c r="B31" s="645" t="s">
        <v>408</v>
      </c>
      <c r="C31" s="478" t="s">
        <v>42</v>
      </c>
      <c r="D31" s="652" t="s">
        <v>129</v>
      </c>
      <c r="E31" s="652" t="s">
        <v>163</v>
      </c>
      <c r="F31" s="654" t="s">
        <v>33</v>
      </c>
      <c r="G31" s="70" t="s">
        <v>110</v>
      </c>
    </row>
    <row r="32" spans="1:7" ht="15.75">
      <c r="A32" s="589">
        <v>45712</v>
      </c>
      <c r="B32" s="645" t="s">
        <v>292</v>
      </c>
      <c r="C32" s="478" t="s">
        <v>42</v>
      </c>
      <c r="D32" s="652" t="s">
        <v>129</v>
      </c>
      <c r="E32" s="652" t="s">
        <v>163</v>
      </c>
      <c r="F32" s="654" t="s">
        <v>33</v>
      </c>
      <c r="G32" s="70" t="s">
        <v>110</v>
      </c>
    </row>
    <row r="33" spans="1:7" ht="15.75">
      <c r="A33" s="589">
        <v>45713</v>
      </c>
      <c r="B33" s="641" t="s">
        <v>402</v>
      </c>
      <c r="C33" s="478" t="s">
        <v>42</v>
      </c>
      <c r="D33" s="652" t="s">
        <v>129</v>
      </c>
      <c r="E33" s="652" t="s">
        <v>163</v>
      </c>
      <c r="F33" s="654" t="s">
        <v>33</v>
      </c>
      <c r="G33" s="70" t="s">
        <v>110</v>
      </c>
    </row>
    <row r="34" spans="1:7" ht="15.75">
      <c r="A34" s="589">
        <v>45714</v>
      </c>
      <c r="B34" s="645" t="s">
        <v>505</v>
      </c>
      <c r="C34" s="478" t="s">
        <v>42</v>
      </c>
      <c r="D34" s="652" t="s">
        <v>129</v>
      </c>
      <c r="E34" s="652" t="s">
        <v>17</v>
      </c>
      <c r="F34" s="654" t="s">
        <v>33</v>
      </c>
      <c r="G34" s="70" t="s">
        <v>110</v>
      </c>
    </row>
    <row r="35" spans="1:7" ht="15.75">
      <c r="A35" s="589">
        <v>45715</v>
      </c>
      <c r="B35" s="645" t="s">
        <v>470</v>
      </c>
      <c r="C35" s="478" t="s">
        <v>42</v>
      </c>
      <c r="D35" s="652" t="s">
        <v>508</v>
      </c>
      <c r="E35" s="652"/>
      <c r="F35" s="654" t="s">
        <v>33</v>
      </c>
      <c r="G35" s="70" t="s">
        <v>146</v>
      </c>
    </row>
    <row r="36" spans="1:7" ht="15.75">
      <c r="A36" s="589">
        <v>45716</v>
      </c>
      <c r="B36" s="647" t="s">
        <v>509</v>
      </c>
      <c r="C36" s="481" t="s">
        <v>185</v>
      </c>
      <c r="D36" s="649" t="s">
        <v>350</v>
      </c>
      <c r="E36" s="649" t="s">
        <v>163</v>
      </c>
      <c r="F36" s="650" t="s">
        <v>14</v>
      </c>
      <c r="G36" s="651" t="s">
        <v>21</v>
      </c>
    </row>
    <row r="37" spans="1:7" ht="15.75">
      <c r="A37" s="656"/>
      <c r="B37" s="657"/>
      <c r="C37" s="658"/>
      <c r="D37" s="659"/>
      <c r="E37" s="659"/>
      <c r="F37" s="660"/>
      <c r="G37" s="661"/>
    </row>
    <row r="38" spans="1:7" ht="15.75">
      <c r="A38" s="656"/>
      <c r="B38" s="662"/>
      <c r="C38" s="658"/>
      <c r="D38" s="659"/>
      <c r="E38" s="659"/>
      <c r="F38" s="660"/>
      <c r="G38" s="661"/>
    </row>
    <row r="39" spans="1:7" ht="15.75">
      <c r="A39" s="656"/>
      <c r="B39" s="663"/>
      <c r="C39" s="664"/>
      <c r="D39" s="665"/>
      <c r="E39" s="665"/>
      <c r="F39" s="666"/>
      <c r="G39" s="667"/>
    </row>
    <row r="40" spans="1:7">
      <c r="A40" s="1254"/>
      <c r="B40" s="1218"/>
      <c r="C40" s="1218"/>
      <c r="D40" s="1218"/>
      <c r="E40" s="1218"/>
      <c r="F40" s="1218"/>
    </row>
    <row r="41" spans="1:7">
      <c r="A41" s="1147"/>
      <c r="B41" s="1147"/>
      <c r="C41" s="1147"/>
      <c r="D41" s="1147"/>
      <c r="E41" s="1147"/>
      <c r="F41" s="1147"/>
    </row>
    <row r="42" spans="1:7">
      <c r="A42" s="1147"/>
      <c r="B42" s="1147"/>
      <c r="C42" s="1147"/>
      <c r="D42" s="1147"/>
      <c r="E42" s="1147"/>
      <c r="F42" s="1147"/>
    </row>
    <row r="49" spans="1:7">
      <c r="F49" s="195"/>
    </row>
    <row r="50" spans="1:7">
      <c r="F50" s="195"/>
    </row>
    <row r="53" spans="1:7" ht="21">
      <c r="A53" s="1102" t="s">
        <v>510</v>
      </c>
      <c r="B53" s="1102"/>
      <c r="C53" s="1102"/>
      <c r="D53" s="1102"/>
      <c r="E53" s="1102"/>
      <c r="F53" s="1102"/>
    </row>
    <row r="54" spans="1:7" ht="21">
      <c r="B54" s="1235" t="s">
        <v>4</v>
      </c>
      <c r="C54" s="1236"/>
      <c r="D54" s="1236"/>
      <c r="E54" s="1236"/>
      <c r="F54" s="1236"/>
      <c r="G54" s="1237"/>
    </row>
    <row r="55" spans="1:7" ht="21">
      <c r="B55" s="620" t="s">
        <v>5</v>
      </c>
      <c r="C55" s="1238" t="s">
        <v>6</v>
      </c>
      <c r="D55" s="1278"/>
      <c r="E55" s="1239"/>
      <c r="F55" s="1279" t="s">
        <v>128</v>
      </c>
      <c r="G55" s="1280"/>
    </row>
    <row r="56" spans="1:7" ht="15.75">
      <c r="A56" s="589">
        <v>45689</v>
      </c>
      <c r="B56" s="668" t="s">
        <v>511</v>
      </c>
      <c r="C56" s="303" t="s">
        <v>109</v>
      </c>
      <c r="D56" s="304" t="s">
        <v>146</v>
      </c>
      <c r="E56" s="669"/>
      <c r="F56" s="1298" t="s">
        <v>129</v>
      </c>
      <c r="G56" s="1277"/>
    </row>
    <row r="57" spans="1:7" ht="15.75">
      <c r="A57" s="589">
        <v>45690</v>
      </c>
      <c r="B57" s="670" t="s">
        <v>449</v>
      </c>
      <c r="C57" s="671" t="s">
        <v>14</v>
      </c>
      <c r="D57" s="672" t="s">
        <v>33</v>
      </c>
      <c r="E57" s="373" t="s">
        <v>110</v>
      </c>
      <c r="F57" s="1228"/>
      <c r="G57" s="1193"/>
    </row>
    <row r="58" spans="1:7" ht="15.75">
      <c r="A58" s="589">
        <v>45691</v>
      </c>
      <c r="B58" s="670" t="s">
        <v>456</v>
      </c>
      <c r="C58" s="671" t="s">
        <v>109</v>
      </c>
      <c r="D58" s="672" t="s">
        <v>161</v>
      </c>
      <c r="E58" s="673" t="s">
        <v>17</v>
      </c>
      <c r="F58" s="1228" t="s">
        <v>512</v>
      </c>
      <c r="G58" s="1193"/>
    </row>
    <row r="59" spans="1:7" ht="15.75">
      <c r="A59" s="589">
        <v>45692</v>
      </c>
      <c r="B59" s="670" t="s">
        <v>34</v>
      </c>
      <c r="C59" s="671" t="s">
        <v>129</v>
      </c>
      <c r="D59" s="672" t="s">
        <v>350</v>
      </c>
      <c r="E59" s="373" t="s">
        <v>146</v>
      </c>
      <c r="F59" s="1228"/>
      <c r="G59" s="1193"/>
    </row>
    <row r="60" spans="1:7" ht="15.75">
      <c r="A60" s="589">
        <v>45693</v>
      </c>
      <c r="B60" s="641" t="s">
        <v>513</v>
      </c>
      <c r="C60" s="671" t="s">
        <v>14</v>
      </c>
      <c r="D60" s="672" t="s">
        <v>403</v>
      </c>
      <c r="E60" s="673" t="s">
        <v>33</v>
      </c>
      <c r="F60" s="1228" t="s">
        <v>129</v>
      </c>
      <c r="G60" s="1193"/>
    </row>
    <row r="61" spans="1:7" ht="15.75">
      <c r="A61" s="589">
        <v>45694</v>
      </c>
      <c r="B61" s="670" t="s">
        <v>449</v>
      </c>
      <c r="C61" s="671" t="s">
        <v>185</v>
      </c>
      <c r="D61" s="672" t="s">
        <v>161</v>
      </c>
      <c r="E61" s="373" t="s">
        <v>130</v>
      </c>
      <c r="F61" s="1228"/>
      <c r="G61" s="1193"/>
    </row>
    <row r="62" spans="1:7" ht="15.75">
      <c r="A62" s="589">
        <v>45695</v>
      </c>
      <c r="B62" s="674" t="s">
        <v>456</v>
      </c>
      <c r="C62" s="675" t="s">
        <v>185</v>
      </c>
      <c r="D62" s="676" t="s">
        <v>350</v>
      </c>
      <c r="E62" s="397" t="s">
        <v>17</v>
      </c>
      <c r="F62" s="1286"/>
      <c r="G62" s="1287"/>
    </row>
    <row r="63" spans="1:7" ht="15.75">
      <c r="A63" s="589">
        <v>45696</v>
      </c>
      <c r="B63" s="670" t="s">
        <v>34</v>
      </c>
      <c r="C63" s="671" t="s">
        <v>109</v>
      </c>
      <c r="D63" s="672" t="s">
        <v>403</v>
      </c>
      <c r="E63" s="373" t="s">
        <v>146</v>
      </c>
      <c r="F63" s="1228"/>
      <c r="G63" s="1193"/>
    </row>
    <row r="64" spans="1:7" ht="15.75">
      <c r="A64" s="589">
        <v>45697</v>
      </c>
      <c r="B64" s="677" t="s">
        <v>514</v>
      </c>
      <c r="C64" s="671" t="s">
        <v>14</v>
      </c>
      <c r="D64" s="672" t="s">
        <v>146</v>
      </c>
      <c r="E64" s="373" t="s">
        <v>33</v>
      </c>
      <c r="F64" s="1228"/>
      <c r="G64" s="1193"/>
    </row>
    <row r="65" spans="1:7" ht="15.75">
      <c r="A65" s="589">
        <v>45698</v>
      </c>
      <c r="B65" s="670" t="s">
        <v>449</v>
      </c>
      <c r="C65" s="671" t="s">
        <v>109</v>
      </c>
      <c r="D65" s="672" t="s">
        <v>161</v>
      </c>
      <c r="E65" s="673" t="s">
        <v>17</v>
      </c>
      <c r="F65" s="1228"/>
      <c r="G65" s="1193"/>
    </row>
    <row r="66" spans="1:7" ht="15.75">
      <c r="A66" s="589">
        <v>45699</v>
      </c>
      <c r="B66" s="670" t="s">
        <v>456</v>
      </c>
      <c r="C66" s="671" t="s">
        <v>129</v>
      </c>
      <c r="D66" s="672" t="s">
        <v>350</v>
      </c>
      <c r="E66" s="373" t="s">
        <v>515</v>
      </c>
      <c r="F66" s="1228" t="s">
        <v>457</v>
      </c>
      <c r="G66" s="1193"/>
    </row>
    <row r="67" spans="1:7" ht="15.75">
      <c r="A67" s="589">
        <v>45700</v>
      </c>
      <c r="B67" s="670" t="s">
        <v>34</v>
      </c>
      <c r="C67" s="671" t="s">
        <v>14</v>
      </c>
      <c r="D67" s="672" t="s">
        <v>33</v>
      </c>
      <c r="E67" s="373" t="s">
        <v>110</v>
      </c>
      <c r="F67" s="1228"/>
      <c r="G67" s="1193"/>
    </row>
    <row r="68" spans="1:7" ht="15.75">
      <c r="A68" s="589">
        <v>45701</v>
      </c>
      <c r="B68" s="641" t="s">
        <v>501</v>
      </c>
      <c r="C68" s="671" t="s">
        <v>515</v>
      </c>
      <c r="D68" s="672" t="s">
        <v>161</v>
      </c>
      <c r="E68" s="373" t="s">
        <v>17</v>
      </c>
      <c r="F68" s="1228"/>
      <c r="G68" s="1193"/>
    </row>
    <row r="69" spans="1:7" ht="15.75">
      <c r="A69" s="589">
        <v>45702</v>
      </c>
      <c r="B69" s="674" t="s">
        <v>456</v>
      </c>
      <c r="C69" s="675" t="s">
        <v>185</v>
      </c>
      <c r="D69" s="676" t="s">
        <v>403</v>
      </c>
      <c r="E69" s="397" t="s">
        <v>350</v>
      </c>
      <c r="F69" s="1286"/>
      <c r="G69" s="1287"/>
    </row>
    <row r="70" spans="1:7" ht="15.75">
      <c r="A70" s="589">
        <v>45703</v>
      </c>
      <c r="B70" s="670" t="s">
        <v>34</v>
      </c>
      <c r="C70" s="671" t="s">
        <v>109</v>
      </c>
      <c r="D70" s="672" t="s">
        <v>146</v>
      </c>
      <c r="E70" s="373" t="s">
        <v>516</v>
      </c>
      <c r="F70" s="1228" t="s">
        <v>475</v>
      </c>
      <c r="G70" s="1193"/>
    </row>
    <row r="71" spans="1:7" ht="15.75">
      <c r="A71" s="589">
        <v>45704</v>
      </c>
      <c r="B71" s="670" t="s">
        <v>449</v>
      </c>
      <c r="C71" s="671" t="s">
        <v>14</v>
      </c>
      <c r="D71" s="672" t="s">
        <v>110</v>
      </c>
      <c r="E71" s="373" t="s">
        <v>456</v>
      </c>
      <c r="F71" s="1228"/>
      <c r="G71" s="1193"/>
    </row>
    <row r="72" spans="1:7" ht="15.75">
      <c r="A72" s="589">
        <v>45705</v>
      </c>
      <c r="B72" s="678" t="s">
        <v>456</v>
      </c>
      <c r="C72" s="671" t="s">
        <v>34</v>
      </c>
      <c r="D72" s="672" t="s">
        <v>403</v>
      </c>
      <c r="E72" s="373" t="s">
        <v>161</v>
      </c>
      <c r="F72" s="1228"/>
      <c r="G72" s="1193"/>
    </row>
    <row r="73" spans="1:7" ht="15.75">
      <c r="A73" s="589">
        <v>45706</v>
      </c>
      <c r="B73" s="670" t="s">
        <v>34</v>
      </c>
      <c r="C73" s="671" t="s">
        <v>129</v>
      </c>
      <c r="D73" s="672" t="s">
        <v>350</v>
      </c>
      <c r="E73" s="373" t="s">
        <v>449</v>
      </c>
      <c r="F73" s="1228"/>
      <c r="G73" s="1193"/>
    </row>
    <row r="74" spans="1:7" ht="15.75">
      <c r="A74" s="589">
        <v>45707</v>
      </c>
      <c r="B74" s="670" t="s">
        <v>449</v>
      </c>
      <c r="C74" s="671" t="s">
        <v>109</v>
      </c>
      <c r="D74" s="672" t="s">
        <v>110</v>
      </c>
      <c r="E74" s="373" t="s">
        <v>17</v>
      </c>
      <c r="F74" s="1228"/>
      <c r="G74" s="1193"/>
    </row>
    <row r="75" spans="1:7" ht="15.75">
      <c r="A75" s="589">
        <v>45708</v>
      </c>
      <c r="B75" s="670" t="s">
        <v>73</v>
      </c>
      <c r="C75" s="671" t="s">
        <v>185</v>
      </c>
      <c r="D75" s="672" t="s">
        <v>403</v>
      </c>
      <c r="E75" s="373" t="s">
        <v>161</v>
      </c>
      <c r="F75" s="1228"/>
      <c r="G75" s="1193"/>
    </row>
    <row r="76" spans="1:7" ht="15.75">
      <c r="A76" s="589">
        <v>45709</v>
      </c>
      <c r="B76" s="679" t="s">
        <v>456</v>
      </c>
      <c r="C76" s="675" t="s">
        <v>185</v>
      </c>
      <c r="D76" s="676" t="s">
        <v>350</v>
      </c>
      <c r="E76" s="397" t="s">
        <v>515</v>
      </c>
      <c r="F76" s="1286" t="s">
        <v>517</v>
      </c>
      <c r="G76" s="1287"/>
    </row>
    <row r="77" spans="1:7" ht="15.75">
      <c r="A77" s="589">
        <v>45710</v>
      </c>
      <c r="B77" s="670" t="s">
        <v>34</v>
      </c>
      <c r="C77" s="680" t="s">
        <v>109</v>
      </c>
      <c r="D77" s="681" t="s">
        <v>516</v>
      </c>
      <c r="E77" s="673" t="s">
        <v>457</v>
      </c>
      <c r="F77" s="1228"/>
      <c r="G77" s="1193"/>
    </row>
    <row r="78" spans="1:7" ht="15.75">
      <c r="A78" s="589">
        <v>45711</v>
      </c>
      <c r="B78" s="670" t="s">
        <v>449</v>
      </c>
      <c r="C78" s="671" t="s">
        <v>515</v>
      </c>
      <c r="D78" s="672" t="s">
        <v>110</v>
      </c>
      <c r="E78" s="373" t="s">
        <v>33</v>
      </c>
      <c r="F78" s="1228"/>
      <c r="G78" s="1193"/>
    </row>
    <row r="79" spans="1:7" ht="15.75">
      <c r="A79" s="589">
        <v>45712</v>
      </c>
      <c r="B79" s="670" t="s">
        <v>456</v>
      </c>
      <c r="C79" s="671" t="s">
        <v>109</v>
      </c>
      <c r="D79" s="672" t="s">
        <v>161</v>
      </c>
      <c r="E79" s="673" t="s">
        <v>110</v>
      </c>
      <c r="F79" s="1228" t="s">
        <v>42</v>
      </c>
      <c r="G79" s="1193"/>
    </row>
    <row r="80" spans="1:7" ht="15.75">
      <c r="A80" s="589">
        <v>45713</v>
      </c>
      <c r="B80" s="678" t="s">
        <v>459</v>
      </c>
      <c r="C80" s="671" t="s">
        <v>129</v>
      </c>
      <c r="D80" s="672" t="s">
        <v>350</v>
      </c>
      <c r="E80" s="373" t="s">
        <v>34</v>
      </c>
      <c r="F80" s="1228"/>
      <c r="G80" s="1193"/>
    </row>
    <row r="81" spans="1:7" ht="15.75">
      <c r="A81" s="589">
        <v>45714</v>
      </c>
      <c r="B81" s="670" t="s">
        <v>449</v>
      </c>
      <c r="C81" s="671" t="s">
        <v>515</v>
      </c>
      <c r="D81" s="672" t="s">
        <v>34</v>
      </c>
      <c r="E81" s="373" t="s">
        <v>130</v>
      </c>
      <c r="F81" s="1228"/>
      <c r="G81" s="1193"/>
    </row>
    <row r="82" spans="1:7" ht="15.75">
      <c r="A82" s="589">
        <v>45715</v>
      </c>
      <c r="B82" s="670" t="s">
        <v>73</v>
      </c>
      <c r="C82" s="671" t="s">
        <v>185</v>
      </c>
      <c r="D82" s="672" t="s">
        <v>403</v>
      </c>
      <c r="E82" s="373" t="s">
        <v>161</v>
      </c>
      <c r="F82" s="1228"/>
      <c r="G82" s="1193"/>
    </row>
    <row r="83" spans="1:7" ht="15.75">
      <c r="A83" s="589">
        <v>45716</v>
      </c>
      <c r="B83" s="674" t="s">
        <v>456</v>
      </c>
      <c r="C83" s="675" t="s">
        <v>185</v>
      </c>
      <c r="D83" s="676" t="s">
        <v>350</v>
      </c>
      <c r="E83" s="397" t="s">
        <v>516</v>
      </c>
      <c r="F83" s="1286" t="s">
        <v>518</v>
      </c>
      <c r="G83" s="1287"/>
    </row>
    <row r="84" spans="1:7" ht="15.75">
      <c r="A84" s="656"/>
      <c r="B84" s="682"/>
      <c r="C84" s="683"/>
      <c r="D84" s="684"/>
      <c r="E84" s="685"/>
      <c r="F84" s="1292"/>
      <c r="G84" s="1293"/>
    </row>
    <row r="85" spans="1:7" ht="15.75">
      <c r="A85" s="656"/>
      <c r="B85" s="686"/>
      <c r="C85" s="683"/>
      <c r="D85" s="684"/>
      <c r="E85" s="685"/>
      <c r="F85" s="1292"/>
      <c r="G85" s="1293"/>
    </row>
    <row r="86" spans="1:7" ht="15.75">
      <c r="A86" s="656"/>
      <c r="B86" s="687"/>
      <c r="C86" s="688"/>
      <c r="D86" s="689"/>
      <c r="E86" s="690"/>
      <c r="F86" s="1296"/>
      <c r="G86" s="1297"/>
    </row>
    <row r="87" spans="1:7" ht="15.75">
      <c r="A87" s="589"/>
      <c r="B87" s="632" t="s">
        <v>158</v>
      </c>
      <c r="C87" s="633" t="s">
        <v>478</v>
      </c>
      <c r="D87" s="634" t="s">
        <v>479</v>
      </c>
    </row>
    <row r="88" spans="1:7" ht="13.5" customHeight="1">
      <c r="A88" s="635" t="s">
        <v>257</v>
      </c>
      <c r="B88" s="1233" t="s">
        <v>519</v>
      </c>
      <c r="C88" s="1215"/>
      <c r="D88" s="691" t="s">
        <v>174</v>
      </c>
    </row>
    <row r="89" spans="1:7" ht="13.5" customHeight="1">
      <c r="A89" s="44" t="s">
        <v>260</v>
      </c>
      <c r="B89" s="1290" t="s">
        <v>520</v>
      </c>
      <c r="C89" s="1246"/>
      <c r="D89" s="1247"/>
    </row>
    <row r="90" spans="1:7" ht="13.5" customHeight="1">
      <c r="A90" s="44" t="s">
        <v>262</v>
      </c>
      <c r="B90" s="1290" t="s">
        <v>521</v>
      </c>
      <c r="C90" s="1246"/>
      <c r="D90" s="1247"/>
    </row>
    <row r="91" spans="1:7" ht="13.5" customHeight="1">
      <c r="A91" s="44" t="s">
        <v>264</v>
      </c>
      <c r="B91" s="1290" t="s">
        <v>522</v>
      </c>
      <c r="C91" s="1246"/>
      <c r="D91" s="1247"/>
    </row>
    <row r="92" spans="1:7" ht="13.5" customHeight="1">
      <c r="A92" s="44" t="s">
        <v>523</v>
      </c>
      <c r="B92" s="1288" t="s">
        <v>524</v>
      </c>
      <c r="C92" s="1289"/>
      <c r="D92" s="694" t="s">
        <v>174</v>
      </c>
    </row>
    <row r="93" spans="1:7" ht="13.5" customHeight="1">
      <c r="A93" s="63" t="s">
        <v>525</v>
      </c>
      <c r="B93" s="1290" t="s">
        <v>526</v>
      </c>
      <c r="C93" s="1291"/>
      <c r="D93" s="696"/>
    </row>
    <row r="94" spans="1:7" ht="13.5" customHeight="1">
      <c r="A94" s="44" t="s">
        <v>267</v>
      </c>
      <c r="B94" s="697"/>
      <c r="C94" s="698" t="s">
        <v>268</v>
      </c>
      <c r="D94" s="696"/>
    </row>
    <row r="95" spans="1:7" ht="13.5" customHeight="1">
      <c r="A95" s="44" t="s">
        <v>269</v>
      </c>
      <c r="B95" s="1290" t="s">
        <v>527</v>
      </c>
      <c r="C95" s="1291"/>
      <c r="D95" s="694" t="s">
        <v>528</v>
      </c>
    </row>
    <row r="96" spans="1:7" ht="13.5" customHeight="1">
      <c r="A96" s="44" t="s">
        <v>271</v>
      </c>
      <c r="B96" s="1290" t="s">
        <v>529</v>
      </c>
      <c r="C96" s="1291"/>
      <c r="D96" s="696"/>
    </row>
    <row r="97" spans="1:4" ht="13.5" customHeight="1">
      <c r="A97" s="44" t="s">
        <v>275</v>
      </c>
      <c r="B97" s="697" t="s">
        <v>276</v>
      </c>
      <c r="C97" s="1294" t="s">
        <v>274</v>
      </c>
      <c r="D97" s="1295"/>
    </row>
    <row r="98" spans="1:4" ht="13.5" customHeight="1">
      <c r="A98" s="44" t="s">
        <v>278</v>
      </c>
      <c r="B98" s="697" t="s">
        <v>276</v>
      </c>
      <c r="C98" s="698" t="s">
        <v>530</v>
      </c>
      <c r="D98" s="696"/>
    </row>
    <row r="99" spans="1:4" ht="13.5" customHeight="1">
      <c r="A99" s="44" t="s">
        <v>343</v>
      </c>
      <c r="B99" s="697"/>
      <c r="C99" s="698" t="s">
        <v>282</v>
      </c>
      <c r="D99" s="696"/>
    </row>
    <row r="100" spans="1:4" ht="13.5" customHeight="1">
      <c r="A100" s="44" t="s">
        <v>284</v>
      </c>
      <c r="B100" s="697" t="s">
        <v>286</v>
      </c>
      <c r="C100" s="698" t="s">
        <v>530</v>
      </c>
      <c r="D100" s="696"/>
    </row>
    <row r="101" spans="1:4" ht="13.5" customHeight="1">
      <c r="A101" s="699" t="s">
        <v>288</v>
      </c>
      <c r="B101" s="697"/>
      <c r="C101" s="698" t="s">
        <v>274</v>
      </c>
      <c r="D101" s="696"/>
    </row>
    <row r="102" spans="1:4" ht="13.5" customHeight="1">
      <c r="A102" s="699" t="s">
        <v>508</v>
      </c>
      <c r="B102" s="331"/>
      <c r="C102" s="700" t="s">
        <v>287</v>
      </c>
      <c r="D102" s="423"/>
    </row>
    <row r="103" spans="1:4">
      <c r="A103" s="68" t="s">
        <v>531</v>
      </c>
      <c r="B103" s="701" t="s">
        <v>273</v>
      </c>
      <c r="C103" s="702" t="s">
        <v>532</v>
      </c>
      <c r="D103" s="339"/>
    </row>
  </sheetData>
  <mergeCells count="53">
    <mergeCell ref="C5:D5"/>
    <mergeCell ref="B6:F6"/>
    <mergeCell ref="C7:F7"/>
    <mergeCell ref="A40:F40"/>
    <mergeCell ref="A41:F41"/>
    <mergeCell ref="A42:F42"/>
    <mergeCell ref="A53:F53"/>
    <mergeCell ref="B54:G54"/>
    <mergeCell ref="C55:E55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72:G72"/>
    <mergeCell ref="F73:G73"/>
    <mergeCell ref="F74:G74"/>
    <mergeCell ref="F75:G75"/>
    <mergeCell ref="F66:G66"/>
    <mergeCell ref="F67:G67"/>
    <mergeCell ref="F68:G68"/>
    <mergeCell ref="F69:G69"/>
    <mergeCell ref="F70:G70"/>
    <mergeCell ref="B95:C95"/>
    <mergeCell ref="B96:C96"/>
    <mergeCell ref="C97:D97"/>
    <mergeCell ref="F86:G86"/>
    <mergeCell ref="B88:C88"/>
    <mergeCell ref="B89:D89"/>
    <mergeCell ref="B90:D90"/>
    <mergeCell ref="B91:D91"/>
    <mergeCell ref="A1:A4"/>
    <mergeCell ref="A6:A8"/>
    <mergeCell ref="B1:F4"/>
    <mergeCell ref="B92:C92"/>
    <mergeCell ref="B93:C93"/>
    <mergeCell ref="F81:G81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  <mergeCell ref="F71:G71"/>
  </mergeCells>
  <pageMargins left="0" right="0" top="0" bottom="0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2"/>
  <sheetViews>
    <sheetView topLeftCell="A7" workbookViewId="0">
      <selection activeCell="J43" sqref="J43"/>
    </sheetView>
  </sheetViews>
  <sheetFormatPr baseColWidth="10" defaultColWidth="11" defaultRowHeight="15"/>
  <cols>
    <col min="1" max="1" width="27.140625" customWidth="1"/>
  </cols>
  <sheetData>
    <row r="1" spans="1:7">
      <c r="A1" s="1083"/>
      <c r="B1" s="1090" t="s">
        <v>533</v>
      </c>
      <c r="C1" s="1094"/>
      <c r="D1" s="1094"/>
      <c r="E1" s="1094"/>
      <c r="F1" s="1094"/>
    </row>
    <row r="2" spans="1:7">
      <c r="A2" s="1083"/>
      <c r="B2" s="1094"/>
      <c r="C2" s="1094"/>
      <c r="D2" s="1094"/>
      <c r="E2" s="1094"/>
      <c r="F2" s="1094"/>
    </row>
    <row r="3" spans="1:7">
      <c r="A3" s="1083"/>
      <c r="B3" s="1094"/>
      <c r="C3" s="1094"/>
      <c r="D3" s="1094"/>
      <c r="E3" s="1094"/>
      <c r="F3" s="1094"/>
    </row>
    <row r="4" spans="1:7">
      <c r="A4" s="1083"/>
      <c r="B4" s="1094"/>
      <c r="C4" s="1094"/>
      <c r="D4" s="1094"/>
      <c r="E4" s="1094"/>
      <c r="F4" s="1094"/>
    </row>
    <row r="5" spans="1:7" ht="15.75">
      <c r="A5" s="431"/>
      <c r="B5" s="431"/>
      <c r="C5" s="1126">
        <v>2025</v>
      </c>
      <c r="D5" s="1126"/>
      <c r="E5" s="2"/>
      <c r="F5" s="432"/>
    </row>
    <row r="6" spans="1:7" ht="15.75">
      <c r="A6" s="1134" t="s">
        <v>2</v>
      </c>
      <c r="B6" s="1138" t="s">
        <v>40</v>
      </c>
      <c r="C6" s="1139"/>
      <c r="D6" s="1139"/>
      <c r="E6" s="1139"/>
      <c r="F6" s="1141"/>
    </row>
    <row r="7" spans="1:7" ht="15.75">
      <c r="A7" s="1135"/>
      <c r="B7" s="604" t="s">
        <v>5</v>
      </c>
      <c r="C7" s="1281" t="s">
        <v>6</v>
      </c>
      <c r="D7" s="1282"/>
      <c r="E7" s="1282"/>
      <c r="F7" s="1283"/>
    </row>
    <row r="8" spans="1:7" ht="15.75">
      <c r="A8" s="1275"/>
      <c r="B8" s="605" t="s">
        <v>178</v>
      </c>
      <c r="C8" s="606" t="s">
        <v>8</v>
      </c>
      <c r="D8" s="606" t="s">
        <v>9</v>
      </c>
      <c r="E8" s="606" t="s">
        <v>10</v>
      </c>
      <c r="F8" s="607" t="s">
        <v>7</v>
      </c>
      <c r="G8" s="608" t="s">
        <v>434</v>
      </c>
    </row>
    <row r="9" spans="1:7" ht="15.75">
      <c r="A9" s="589">
        <v>45717</v>
      </c>
      <c r="B9" s="609" t="s">
        <v>449</v>
      </c>
      <c r="C9" s="440" t="s">
        <v>34</v>
      </c>
      <c r="D9" s="610" t="s">
        <v>516</v>
      </c>
      <c r="E9" s="610" t="s">
        <v>476</v>
      </c>
      <c r="F9" s="611"/>
      <c r="G9" s="612" t="s">
        <v>456</v>
      </c>
    </row>
    <row r="10" spans="1:7" ht="15.75">
      <c r="A10" s="589">
        <v>45718</v>
      </c>
      <c r="B10" s="573" t="s">
        <v>34</v>
      </c>
      <c r="C10" s="440" t="s">
        <v>466</v>
      </c>
      <c r="D10" s="610" t="s">
        <v>459</v>
      </c>
      <c r="E10" s="610" t="s">
        <v>476</v>
      </c>
      <c r="F10" s="611" t="s">
        <v>457</v>
      </c>
      <c r="G10" s="612"/>
    </row>
    <row r="11" spans="1:7" ht="15.75">
      <c r="A11" s="589">
        <v>45719</v>
      </c>
      <c r="B11" s="573" t="s">
        <v>456</v>
      </c>
      <c r="C11" s="440" t="s">
        <v>466</v>
      </c>
      <c r="D11" s="610" t="s">
        <v>73</v>
      </c>
      <c r="E11" s="610" t="s">
        <v>476</v>
      </c>
      <c r="F11" s="611" t="s">
        <v>457</v>
      </c>
      <c r="G11" s="612" t="s">
        <v>459</v>
      </c>
    </row>
    <row r="12" spans="1:7" ht="15.75">
      <c r="A12" s="589">
        <v>45720</v>
      </c>
      <c r="B12" s="573" t="s">
        <v>449</v>
      </c>
      <c r="C12" s="440" t="s">
        <v>466</v>
      </c>
      <c r="D12" s="610" t="s">
        <v>73</v>
      </c>
      <c r="E12" s="610" t="s">
        <v>476</v>
      </c>
      <c r="F12" s="611" t="s">
        <v>457</v>
      </c>
      <c r="G12" s="612" t="s">
        <v>459</v>
      </c>
    </row>
    <row r="13" spans="1:7" ht="15.75">
      <c r="A13" s="589">
        <v>45721</v>
      </c>
      <c r="B13" s="609" t="s">
        <v>73</v>
      </c>
      <c r="C13" s="440" t="s">
        <v>466</v>
      </c>
      <c r="D13" s="610" t="s">
        <v>449</v>
      </c>
      <c r="E13" s="610" t="s">
        <v>476</v>
      </c>
      <c r="F13" s="611" t="s">
        <v>457</v>
      </c>
      <c r="G13" s="612" t="s">
        <v>459</v>
      </c>
    </row>
    <row r="14" spans="1:7" ht="15.75">
      <c r="A14" s="589">
        <v>45722</v>
      </c>
      <c r="B14" s="573" t="s">
        <v>34</v>
      </c>
      <c r="C14" s="440" t="s">
        <v>466</v>
      </c>
      <c r="D14" s="610" t="s">
        <v>73</v>
      </c>
      <c r="E14" s="610" t="s">
        <v>476</v>
      </c>
      <c r="F14" s="611" t="s">
        <v>457</v>
      </c>
      <c r="G14" s="612" t="s">
        <v>459</v>
      </c>
    </row>
    <row r="15" spans="1:7" ht="15.75">
      <c r="A15" s="589">
        <v>45723</v>
      </c>
      <c r="B15" s="573" t="s">
        <v>456</v>
      </c>
      <c r="C15" s="35" t="s">
        <v>508</v>
      </c>
      <c r="D15" s="613" t="s">
        <v>350</v>
      </c>
      <c r="E15" s="613" t="s">
        <v>33</v>
      </c>
      <c r="F15" s="614" t="s">
        <v>476</v>
      </c>
      <c r="G15" s="612" t="s">
        <v>34</v>
      </c>
    </row>
    <row r="16" spans="1:7" ht="15.75">
      <c r="A16" s="589">
        <v>45724</v>
      </c>
      <c r="B16" s="573" t="s">
        <v>449</v>
      </c>
      <c r="C16" s="615" t="s">
        <v>466</v>
      </c>
      <c r="D16" s="613" t="s">
        <v>17</v>
      </c>
      <c r="E16" s="616" t="s">
        <v>455</v>
      </c>
      <c r="F16" s="614"/>
      <c r="G16" s="612" t="s">
        <v>456</v>
      </c>
    </row>
    <row r="17" spans="1:7" ht="15.75">
      <c r="A17" s="589">
        <v>45725</v>
      </c>
      <c r="B17" s="609" t="s">
        <v>34</v>
      </c>
      <c r="C17" s="615" t="s">
        <v>466</v>
      </c>
      <c r="D17" s="613" t="s">
        <v>73</v>
      </c>
      <c r="E17" s="616" t="s">
        <v>476</v>
      </c>
      <c r="F17" s="614"/>
      <c r="G17" s="612" t="s">
        <v>459</v>
      </c>
    </row>
    <row r="18" spans="1:7" ht="15.75">
      <c r="A18" s="589">
        <v>45726</v>
      </c>
      <c r="B18" s="573" t="s">
        <v>456</v>
      </c>
      <c r="C18" s="615" t="s">
        <v>466</v>
      </c>
      <c r="D18" s="613" t="s">
        <v>73</v>
      </c>
      <c r="E18" s="616" t="s">
        <v>476</v>
      </c>
      <c r="F18" s="614" t="s">
        <v>457</v>
      </c>
      <c r="G18" s="612" t="s">
        <v>459</v>
      </c>
    </row>
    <row r="19" spans="1:7" ht="15.75">
      <c r="A19" s="589">
        <v>45727</v>
      </c>
      <c r="B19" s="573" t="s">
        <v>449</v>
      </c>
      <c r="C19" s="615" t="s">
        <v>466</v>
      </c>
      <c r="D19" s="613" t="s">
        <v>73</v>
      </c>
      <c r="E19" s="616" t="s">
        <v>476</v>
      </c>
      <c r="F19" s="614" t="s">
        <v>457</v>
      </c>
      <c r="G19" s="612" t="s">
        <v>459</v>
      </c>
    </row>
    <row r="20" spans="1:7" ht="15.75">
      <c r="A20" s="589">
        <v>45728</v>
      </c>
      <c r="B20" s="573" t="s">
        <v>534</v>
      </c>
      <c r="C20" s="615" t="s">
        <v>466</v>
      </c>
      <c r="D20" s="613" t="s">
        <v>449</v>
      </c>
      <c r="E20" s="616" t="s">
        <v>476</v>
      </c>
      <c r="F20" s="614"/>
      <c r="G20" s="612" t="s">
        <v>459</v>
      </c>
    </row>
    <row r="21" spans="1:7" ht="15.75">
      <c r="A21" s="589">
        <v>45729</v>
      </c>
      <c r="B21" s="609" t="s">
        <v>34</v>
      </c>
      <c r="C21" s="615" t="s">
        <v>466</v>
      </c>
      <c r="D21" s="613" t="s">
        <v>73</v>
      </c>
      <c r="E21" s="616" t="s">
        <v>476</v>
      </c>
      <c r="F21" s="614" t="s">
        <v>457</v>
      </c>
      <c r="G21" s="612" t="s">
        <v>459</v>
      </c>
    </row>
    <row r="22" spans="1:7" ht="15.75">
      <c r="A22" s="589">
        <v>45730</v>
      </c>
      <c r="B22" s="573" t="s">
        <v>456</v>
      </c>
      <c r="C22" s="446" t="s">
        <v>436</v>
      </c>
      <c r="D22" s="613" t="s">
        <v>17</v>
      </c>
      <c r="E22" s="613" t="s">
        <v>457</v>
      </c>
      <c r="F22" s="614" t="s">
        <v>476</v>
      </c>
      <c r="G22" s="612"/>
    </row>
    <row r="23" spans="1:7" ht="15.75">
      <c r="A23" s="589">
        <v>45731</v>
      </c>
      <c r="B23" s="573" t="s">
        <v>449</v>
      </c>
      <c r="C23" s="446" t="s">
        <v>466</v>
      </c>
      <c r="D23" s="613"/>
      <c r="E23" s="613" t="s">
        <v>455</v>
      </c>
      <c r="F23" s="614"/>
      <c r="G23" s="612"/>
    </row>
    <row r="24" spans="1:7" ht="15.75">
      <c r="A24" s="589">
        <v>45732</v>
      </c>
      <c r="B24" s="573" t="s">
        <v>34</v>
      </c>
      <c r="C24" s="446" t="s">
        <v>466</v>
      </c>
      <c r="D24" s="613" t="s">
        <v>73</v>
      </c>
      <c r="E24" s="613" t="s">
        <v>476</v>
      </c>
      <c r="F24" s="614" t="s">
        <v>457</v>
      </c>
      <c r="G24" s="612" t="s">
        <v>459</v>
      </c>
    </row>
    <row r="25" spans="1:7" ht="15.75">
      <c r="A25" s="589">
        <v>45733</v>
      </c>
      <c r="B25" s="609" t="s">
        <v>456</v>
      </c>
      <c r="C25" s="446" t="s">
        <v>466</v>
      </c>
      <c r="D25" s="613" t="s">
        <v>73</v>
      </c>
      <c r="E25" s="613" t="s">
        <v>476</v>
      </c>
      <c r="F25" s="614" t="s">
        <v>457</v>
      </c>
      <c r="G25" s="612" t="s">
        <v>459</v>
      </c>
    </row>
    <row r="26" spans="1:7" ht="15.75">
      <c r="A26" s="589">
        <v>45734</v>
      </c>
      <c r="B26" s="573" t="s">
        <v>449</v>
      </c>
      <c r="C26" s="446" t="s">
        <v>466</v>
      </c>
      <c r="D26" s="613" t="s">
        <v>73</v>
      </c>
      <c r="E26" s="613" t="s">
        <v>476</v>
      </c>
      <c r="F26" s="614" t="s">
        <v>457</v>
      </c>
      <c r="G26" s="612" t="s">
        <v>459</v>
      </c>
    </row>
    <row r="27" spans="1:7" ht="15.75">
      <c r="A27" s="589">
        <v>45735</v>
      </c>
      <c r="B27" s="573" t="s">
        <v>73</v>
      </c>
      <c r="C27" s="446" t="s">
        <v>466</v>
      </c>
      <c r="D27" s="613" t="s">
        <v>449</v>
      </c>
      <c r="E27" s="613" t="s">
        <v>476</v>
      </c>
      <c r="F27" s="614" t="s">
        <v>457</v>
      </c>
      <c r="G27" s="612" t="s">
        <v>459</v>
      </c>
    </row>
    <row r="28" spans="1:7" ht="15.75">
      <c r="A28" s="589">
        <v>45736</v>
      </c>
      <c r="B28" s="573" t="s">
        <v>34</v>
      </c>
      <c r="C28" s="446" t="s">
        <v>466</v>
      </c>
      <c r="D28" s="613" t="s">
        <v>73</v>
      </c>
      <c r="E28" s="613" t="s">
        <v>476</v>
      </c>
      <c r="F28" s="614" t="s">
        <v>457</v>
      </c>
      <c r="G28" s="612" t="s">
        <v>459</v>
      </c>
    </row>
    <row r="29" spans="1:7" ht="15.75">
      <c r="A29" s="589">
        <v>45737</v>
      </c>
      <c r="B29" s="609" t="s">
        <v>456</v>
      </c>
      <c r="C29" s="446" t="s">
        <v>34</v>
      </c>
      <c r="D29" s="613" t="s">
        <v>535</v>
      </c>
      <c r="E29" s="613" t="s">
        <v>457</v>
      </c>
      <c r="F29" s="614" t="s">
        <v>476</v>
      </c>
      <c r="G29" s="612"/>
    </row>
    <row r="30" spans="1:7" ht="15.75">
      <c r="A30" s="589">
        <v>45738</v>
      </c>
      <c r="B30" s="573" t="s">
        <v>449</v>
      </c>
      <c r="C30" s="446" t="s">
        <v>466</v>
      </c>
      <c r="D30" s="613" t="s">
        <v>456</v>
      </c>
      <c r="E30" s="613" t="s">
        <v>455</v>
      </c>
      <c r="F30" s="614"/>
      <c r="G30" s="612"/>
    </row>
    <row r="31" spans="1:7" ht="15.75">
      <c r="A31" s="589">
        <v>45739</v>
      </c>
      <c r="B31" s="573" t="s">
        <v>34</v>
      </c>
      <c r="C31" s="446" t="s">
        <v>466</v>
      </c>
      <c r="D31" s="613" t="s">
        <v>73</v>
      </c>
      <c r="E31" s="613" t="s">
        <v>476</v>
      </c>
      <c r="F31" s="614" t="s">
        <v>457</v>
      </c>
      <c r="G31" s="612" t="s">
        <v>459</v>
      </c>
    </row>
    <row r="32" spans="1:7" ht="15.75">
      <c r="A32" s="589">
        <v>45740</v>
      </c>
      <c r="B32" s="573" t="s">
        <v>456</v>
      </c>
      <c r="C32" s="446" t="s">
        <v>466</v>
      </c>
      <c r="D32" s="613" t="s">
        <v>73</v>
      </c>
      <c r="E32" s="613" t="s">
        <v>476</v>
      </c>
      <c r="F32" s="614" t="s">
        <v>457</v>
      </c>
      <c r="G32" s="612" t="s">
        <v>459</v>
      </c>
    </row>
    <row r="33" spans="1:7" ht="15.75">
      <c r="A33" s="589">
        <v>45741</v>
      </c>
      <c r="B33" s="609" t="s">
        <v>449</v>
      </c>
      <c r="C33" s="446" t="s">
        <v>466</v>
      </c>
      <c r="D33" s="613" t="s">
        <v>73</v>
      </c>
      <c r="E33" s="613" t="s">
        <v>476</v>
      </c>
      <c r="F33" s="614" t="s">
        <v>457</v>
      </c>
      <c r="G33" s="612" t="s">
        <v>459</v>
      </c>
    </row>
    <row r="34" spans="1:7" ht="15.75">
      <c r="A34" s="589">
        <v>45742</v>
      </c>
      <c r="B34" s="573" t="s">
        <v>73</v>
      </c>
      <c r="C34" s="446" t="s">
        <v>466</v>
      </c>
      <c r="D34" s="613" t="s">
        <v>536</v>
      </c>
      <c r="E34" s="613" t="s">
        <v>476</v>
      </c>
      <c r="F34" s="614" t="s">
        <v>457</v>
      </c>
      <c r="G34" s="612" t="s">
        <v>459</v>
      </c>
    </row>
    <row r="35" spans="1:7" ht="15.75">
      <c r="A35" s="589">
        <v>45743</v>
      </c>
      <c r="B35" s="573" t="s">
        <v>34</v>
      </c>
      <c r="C35" s="446" t="s">
        <v>466</v>
      </c>
      <c r="D35" s="613" t="s">
        <v>73</v>
      </c>
      <c r="E35" s="613" t="s">
        <v>476</v>
      </c>
      <c r="F35" s="614" t="s">
        <v>457</v>
      </c>
      <c r="G35" s="612" t="s">
        <v>459</v>
      </c>
    </row>
    <row r="36" spans="1:7" ht="15.75">
      <c r="A36" s="589">
        <v>45744</v>
      </c>
      <c r="B36" s="573" t="s">
        <v>34</v>
      </c>
      <c r="C36" s="446" t="s">
        <v>436</v>
      </c>
      <c r="D36" s="613"/>
      <c r="E36" s="613"/>
      <c r="F36" s="614" t="s">
        <v>476</v>
      </c>
      <c r="G36" s="612"/>
    </row>
    <row r="37" spans="1:7" ht="15.75">
      <c r="A37" s="589">
        <v>45745</v>
      </c>
      <c r="B37" s="609" t="s">
        <v>449</v>
      </c>
      <c r="C37" s="446" t="s">
        <v>466</v>
      </c>
      <c r="D37" s="617"/>
      <c r="E37" s="613" t="s">
        <v>455</v>
      </c>
      <c r="F37" s="614"/>
      <c r="G37" s="612"/>
    </row>
    <row r="38" spans="1:7" ht="15.75">
      <c r="A38" s="589">
        <v>45746</v>
      </c>
      <c r="B38" s="573" t="s">
        <v>34</v>
      </c>
      <c r="C38" s="446"/>
      <c r="D38" s="613" t="s">
        <v>73</v>
      </c>
      <c r="E38" s="613" t="s">
        <v>476</v>
      </c>
      <c r="F38" s="614" t="s">
        <v>457</v>
      </c>
      <c r="G38" s="612" t="s">
        <v>459</v>
      </c>
    </row>
    <row r="39" spans="1:7" ht="15.75">
      <c r="A39" s="589">
        <v>45747</v>
      </c>
      <c r="B39" s="618" t="s">
        <v>456</v>
      </c>
      <c r="C39" s="1305" t="s">
        <v>459</v>
      </c>
      <c r="D39" s="1306"/>
      <c r="E39" s="1306"/>
      <c r="F39" s="1307"/>
      <c r="G39" s="619"/>
    </row>
    <row r="40" spans="1:7">
      <c r="A40" s="1254"/>
      <c r="B40" s="1218"/>
      <c r="C40" s="1218"/>
      <c r="D40" s="1218"/>
      <c r="E40" s="1218"/>
      <c r="F40" s="1218"/>
    </row>
    <row r="41" spans="1:7">
      <c r="A41" s="1147"/>
      <c r="B41" s="1147"/>
      <c r="C41" s="1147"/>
      <c r="D41" s="1147"/>
      <c r="E41" s="1147"/>
      <c r="F41" s="1147"/>
    </row>
    <row r="42" spans="1:7">
      <c r="A42" s="1147"/>
      <c r="B42" s="1147"/>
      <c r="C42" s="1147"/>
      <c r="D42" s="1147"/>
      <c r="E42" s="1147"/>
      <c r="F42" s="1147"/>
    </row>
    <row r="49" spans="1:7">
      <c r="F49" s="195"/>
    </row>
    <row r="50" spans="1:7">
      <c r="F50" s="195"/>
    </row>
    <row r="53" spans="1:7" ht="21">
      <c r="A53" s="1102" t="s">
        <v>537</v>
      </c>
      <c r="B53" s="1102"/>
      <c r="C53" s="1102"/>
      <c r="D53" s="1102"/>
      <c r="E53" s="1102"/>
      <c r="F53" s="1102"/>
    </row>
    <row r="54" spans="1:7" ht="21">
      <c r="B54" s="1235" t="s">
        <v>4</v>
      </c>
      <c r="C54" s="1236"/>
      <c r="D54" s="1236"/>
      <c r="E54" s="1236"/>
      <c r="F54" s="1236"/>
      <c r="G54" s="1237"/>
    </row>
    <row r="55" spans="1:7" ht="21">
      <c r="B55" s="620" t="s">
        <v>5</v>
      </c>
      <c r="C55" s="1238" t="s">
        <v>6</v>
      </c>
      <c r="D55" s="1278"/>
      <c r="E55" s="1239"/>
      <c r="F55" s="1279" t="s">
        <v>128</v>
      </c>
      <c r="G55" s="1280"/>
    </row>
    <row r="56" spans="1:7" ht="15.75">
      <c r="A56" s="589">
        <v>45717</v>
      </c>
      <c r="B56" s="609" t="s">
        <v>34</v>
      </c>
      <c r="C56" s="621" t="s">
        <v>516</v>
      </c>
      <c r="D56" s="622"/>
      <c r="E56" s="623"/>
      <c r="F56" s="1303"/>
      <c r="G56" s="1304"/>
    </row>
    <row r="57" spans="1:7" ht="15.75">
      <c r="A57" s="589">
        <v>45718</v>
      </c>
      <c r="B57" s="573" t="s">
        <v>34</v>
      </c>
      <c r="C57" s="621" t="s">
        <v>516</v>
      </c>
      <c r="D57" s="624" t="s">
        <v>459</v>
      </c>
      <c r="E57" s="533"/>
      <c r="F57" s="1301"/>
      <c r="G57" s="1302"/>
    </row>
    <row r="58" spans="1:7" ht="15.75">
      <c r="A58" s="589">
        <v>45719</v>
      </c>
      <c r="B58" s="573" t="s">
        <v>456</v>
      </c>
      <c r="C58" s="621" t="s">
        <v>516</v>
      </c>
      <c r="D58" s="624" t="s">
        <v>17</v>
      </c>
      <c r="E58" s="625"/>
      <c r="F58" s="1301" t="s">
        <v>14</v>
      </c>
      <c r="G58" s="1302"/>
    </row>
    <row r="59" spans="1:7" ht="15.75">
      <c r="A59" s="589">
        <v>45720</v>
      </c>
      <c r="B59" s="573" t="s">
        <v>449</v>
      </c>
      <c r="C59" s="621" t="s">
        <v>516</v>
      </c>
      <c r="D59" s="624" t="s">
        <v>515</v>
      </c>
      <c r="E59" s="533"/>
      <c r="F59" s="1301"/>
      <c r="G59" s="1302"/>
    </row>
    <row r="60" spans="1:7" ht="15.75">
      <c r="A60" s="589">
        <v>45721</v>
      </c>
      <c r="B60" s="609" t="s">
        <v>73</v>
      </c>
      <c r="C60" s="621" t="s">
        <v>516</v>
      </c>
      <c r="D60" s="624" t="s">
        <v>33</v>
      </c>
      <c r="E60" s="625"/>
      <c r="F60" s="1301"/>
      <c r="G60" s="1302"/>
    </row>
    <row r="61" spans="1:7" ht="15.75">
      <c r="A61" s="589">
        <v>45722</v>
      </c>
      <c r="B61" s="573" t="s">
        <v>34</v>
      </c>
      <c r="C61" s="621" t="s">
        <v>516</v>
      </c>
      <c r="D61" s="624" t="s">
        <v>33</v>
      </c>
      <c r="E61" s="533" t="s">
        <v>515</v>
      </c>
      <c r="F61" s="1301"/>
      <c r="G61" s="1302"/>
    </row>
    <row r="62" spans="1:7" ht="15.75">
      <c r="A62" s="589">
        <v>45723</v>
      </c>
      <c r="B62" s="573" t="s">
        <v>456</v>
      </c>
      <c r="C62" s="626" t="s">
        <v>446</v>
      </c>
      <c r="D62" s="624" t="s">
        <v>436</v>
      </c>
      <c r="E62" s="533"/>
      <c r="F62" s="1301"/>
      <c r="G62" s="1302"/>
    </row>
    <row r="63" spans="1:7" ht="15.75">
      <c r="A63" s="589">
        <v>45724</v>
      </c>
      <c r="B63" s="573" t="s">
        <v>449</v>
      </c>
      <c r="C63" s="626" t="s">
        <v>516</v>
      </c>
      <c r="D63" s="624" t="s">
        <v>455</v>
      </c>
      <c r="E63" s="533" t="s">
        <v>34</v>
      </c>
      <c r="F63" s="1301"/>
      <c r="G63" s="1302"/>
    </row>
    <row r="64" spans="1:7" ht="15.75">
      <c r="A64" s="589">
        <v>45725</v>
      </c>
      <c r="B64" s="609" t="s">
        <v>34</v>
      </c>
      <c r="C64" s="626" t="s">
        <v>516</v>
      </c>
      <c r="D64" s="624" t="s">
        <v>459</v>
      </c>
      <c r="E64" s="533" t="s">
        <v>457</v>
      </c>
      <c r="F64" s="1301"/>
      <c r="G64" s="1302"/>
    </row>
    <row r="65" spans="1:7" ht="15.75">
      <c r="A65" s="589">
        <v>45726</v>
      </c>
      <c r="B65" s="573" t="s">
        <v>456</v>
      </c>
      <c r="C65" s="626" t="s">
        <v>516</v>
      </c>
      <c r="D65" s="624" t="s">
        <v>458</v>
      </c>
      <c r="E65" s="625" t="s">
        <v>453</v>
      </c>
      <c r="F65" s="1301"/>
      <c r="G65" s="1302"/>
    </row>
    <row r="66" spans="1:7" ht="15.75">
      <c r="A66" s="589">
        <v>45727</v>
      </c>
      <c r="B66" s="573" t="s">
        <v>449</v>
      </c>
      <c r="C66" s="626" t="s">
        <v>516</v>
      </c>
      <c r="D66" s="624" t="s">
        <v>436</v>
      </c>
      <c r="E66" s="533" t="s">
        <v>34</v>
      </c>
      <c r="F66" s="1301"/>
      <c r="G66" s="1302"/>
    </row>
    <row r="67" spans="1:7" ht="15.75">
      <c r="A67" s="589">
        <v>45728</v>
      </c>
      <c r="B67" s="573" t="s">
        <v>73</v>
      </c>
      <c r="C67" s="626" t="s">
        <v>516</v>
      </c>
      <c r="D67" s="624" t="s">
        <v>455</v>
      </c>
      <c r="E67" s="533"/>
      <c r="F67" s="1301"/>
      <c r="G67" s="1302"/>
    </row>
    <row r="68" spans="1:7" ht="15.75">
      <c r="A68" s="589">
        <v>45729</v>
      </c>
      <c r="B68" s="609" t="s">
        <v>34</v>
      </c>
      <c r="C68" s="626" t="s">
        <v>516</v>
      </c>
      <c r="D68" s="624" t="s">
        <v>458</v>
      </c>
      <c r="E68" s="533" t="s">
        <v>515</v>
      </c>
      <c r="F68" s="1301"/>
      <c r="G68" s="1302"/>
    </row>
    <row r="69" spans="1:7" ht="15.75">
      <c r="A69" s="589">
        <v>45730</v>
      </c>
      <c r="B69" s="573" t="s">
        <v>456</v>
      </c>
      <c r="C69" s="626" t="s">
        <v>446</v>
      </c>
      <c r="D69" s="624" t="s">
        <v>436</v>
      </c>
      <c r="E69" s="533"/>
      <c r="F69" s="1301"/>
      <c r="G69" s="1302"/>
    </row>
    <row r="70" spans="1:7" ht="15.75">
      <c r="A70" s="589">
        <v>45731</v>
      </c>
      <c r="B70" s="573" t="s">
        <v>449</v>
      </c>
      <c r="C70" s="626" t="s">
        <v>516</v>
      </c>
      <c r="D70" s="624" t="s">
        <v>455</v>
      </c>
      <c r="E70" s="533" t="s">
        <v>34</v>
      </c>
      <c r="F70" s="1301"/>
      <c r="G70" s="1302"/>
    </row>
    <row r="71" spans="1:7" ht="15.75">
      <c r="A71" s="589">
        <v>45732</v>
      </c>
      <c r="B71" s="573" t="s">
        <v>34</v>
      </c>
      <c r="C71" s="626" t="s">
        <v>516</v>
      </c>
      <c r="D71" s="624" t="s">
        <v>459</v>
      </c>
      <c r="E71" s="533"/>
      <c r="F71" s="1301"/>
      <c r="G71" s="1302"/>
    </row>
    <row r="72" spans="1:7" ht="15.75">
      <c r="A72" s="589">
        <v>45733</v>
      </c>
      <c r="B72" s="609" t="s">
        <v>456</v>
      </c>
      <c r="C72" s="626" t="s">
        <v>516</v>
      </c>
      <c r="D72" s="624"/>
      <c r="E72" s="533" t="s">
        <v>449</v>
      </c>
      <c r="F72" s="1301"/>
      <c r="G72" s="1302"/>
    </row>
    <row r="73" spans="1:7" ht="15.75">
      <c r="A73" s="589">
        <v>45734</v>
      </c>
      <c r="B73" s="573" t="s">
        <v>449</v>
      </c>
      <c r="C73" s="626" t="s">
        <v>516</v>
      </c>
      <c r="D73" s="624" t="s">
        <v>436</v>
      </c>
      <c r="E73" s="533"/>
      <c r="F73" s="1301"/>
      <c r="G73" s="1302"/>
    </row>
    <row r="74" spans="1:7" ht="15.75">
      <c r="A74" s="589">
        <v>45735</v>
      </c>
      <c r="B74" s="573" t="s">
        <v>73</v>
      </c>
      <c r="C74" s="626" t="s">
        <v>516</v>
      </c>
      <c r="D74" s="624" t="s">
        <v>455</v>
      </c>
      <c r="E74" s="533"/>
      <c r="F74" s="1301"/>
      <c r="G74" s="1302"/>
    </row>
    <row r="75" spans="1:7" ht="15.75">
      <c r="A75" s="589">
        <v>45736</v>
      </c>
      <c r="B75" s="573" t="s">
        <v>34</v>
      </c>
      <c r="C75" s="626" t="s">
        <v>516</v>
      </c>
      <c r="D75" s="624"/>
      <c r="E75" s="533" t="s">
        <v>515</v>
      </c>
      <c r="F75" s="1301"/>
      <c r="G75" s="1302"/>
    </row>
    <row r="76" spans="1:7" ht="15.75">
      <c r="A76" s="589">
        <v>45737</v>
      </c>
      <c r="B76" s="609" t="s">
        <v>456</v>
      </c>
      <c r="C76" s="626" t="s">
        <v>446</v>
      </c>
      <c r="D76" s="624" t="s">
        <v>436</v>
      </c>
      <c r="E76" s="533"/>
      <c r="F76" s="1301"/>
      <c r="G76" s="1302"/>
    </row>
    <row r="77" spans="1:7" ht="15.75">
      <c r="A77" s="589">
        <v>45738</v>
      </c>
      <c r="B77" s="573" t="s">
        <v>449</v>
      </c>
      <c r="C77" s="627"/>
      <c r="D77" s="628" t="s">
        <v>455</v>
      </c>
      <c r="E77" s="625"/>
      <c r="F77" s="1301"/>
      <c r="G77" s="1302"/>
    </row>
    <row r="78" spans="1:7" ht="15.75">
      <c r="A78" s="589">
        <v>45739</v>
      </c>
      <c r="B78" s="573" t="s">
        <v>34</v>
      </c>
      <c r="C78" s="627" t="s">
        <v>516</v>
      </c>
      <c r="D78" s="624" t="s">
        <v>459</v>
      </c>
      <c r="E78" s="533"/>
      <c r="F78" s="1301"/>
      <c r="G78" s="1302"/>
    </row>
    <row r="79" spans="1:7" ht="15.75">
      <c r="A79" s="589">
        <v>45740</v>
      </c>
      <c r="B79" s="573" t="s">
        <v>456</v>
      </c>
      <c r="C79" s="627" t="s">
        <v>516</v>
      </c>
      <c r="D79" s="624" t="s">
        <v>458</v>
      </c>
      <c r="E79" s="625"/>
      <c r="F79" s="1301"/>
      <c r="G79" s="1302"/>
    </row>
    <row r="80" spans="1:7" ht="15.75">
      <c r="A80" s="589">
        <v>45741</v>
      </c>
      <c r="B80" s="609" t="s">
        <v>449</v>
      </c>
      <c r="C80" s="627" t="s">
        <v>516</v>
      </c>
      <c r="D80" s="624" t="s">
        <v>515</v>
      </c>
      <c r="E80" s="533"/>
      <c r="F80" s="1301"/>
      <c r="G80" s="1302"/>
    </row>
    <row r="81" spans="1:7" ht="15.75">
      <c r="A81" s="589">
        <v>45742</v>
      </c>
      <c r="B81" s="573" t="s">
        <v>73</v>
      </c>
      <c r="C81" s="627" t="s">
        <v>516</v>
      </c>
      <c r="D81" s="624"/>
      <c r="E81" s="533" t="s">
        <v>34</v>
      </c>
      <c r="F81" s="1301"/>
      <c r="G81" s="1302"/>
    </row>
    <row r="82" spans="1:7" ht="15.75">
      <c r="A82" s="589">
        <v>45743</v>
      </c>
      <c r="B82" s="573" t="s">
        <v>34</v>
      </c>
      <c r="C82" s="627" t="s">
        <v>516</v>
      </c>
      <c r="D82" s="624"/>
      <c r="E82" s="533" t="s">
        <v>515</v>
      </c>
      <c r="F82" s="1301"/>
      <c r="G82" s="1302"/>
    </row>
    <row r="83" spans="1:7" ht="15.75">
      <c r="A83" s="589">
        <v>45744</v>
      </c>
      <c r="B83" s="573" t="s">
        <v>456</v>
      </c>
      <c r="C83" s="626"/>
      <c r="D83" s="624" t="s">
        <v>436</v>
      </c>
      <c r="E83" s="533"/>
      <c r="F83" s="1301"/>
      <c r="G83" s="1302"/>
    </row>
    <row r="84" spans="1:7" ht="15.75">
      <c r="A84" s="589">
        <v>45745</v>
      </c>
      <c r="B84" s="609" t="s">
        <v>449</v>
      </c>
      <c r="C84" s="626"/>
      <c r="D84" s="624" t="s">
        <v>455</v>
      </c>
      <c r="E84" s="533"/>
      <c r="F84" s="1301"/>
      <c r="G84" s="1302"/>
    </row>
    <row r="85" spans="1:7" ht="15.75">
      <c r="A85" s="589">
        <v>45746</v>
      </c>
      <c r="B85" s="573" t="s">
        <v>34</v>
      </c>
      <c r="C85" s="626"/>
      <c r="D85" s="624" t="s">
        <v>459</v>
      </c>
      <c r="E85" s="533"/>
      <c r="F85" s="1301"/>
      <c r="G85" s="1302"/>
    </row>
    <row r="86" spans="1:7" ht="15.75">
      <c r="A86" s="589">
        <v>45747</v>
      </c>
      <c r="B86" s="618" t="s">
        <v>456</v>
      </c>
      <c r="C86" s="629"/>
      <c r="D86" s="630" t="s">
        <v>459</v>
      </c>
      <c r="E86" s="631"/>
      <c r="F86" s="1299"/>
      <c r="G86" s="1300"/>
    </row>
    <row r="87" spans="1:7" ht="15.75">
      <c r="A87" s="589"/>
      <c r="B87" s="632" t="s">
        <v>158</v>
      </c>
      <c r="C87" s="633" t="s">
        <v>478</v>
      </c>
      <c r="D87" s="634" t="s">
        <v>479</v>
      </c>
    </row>
    <row r="88" spans="1:7" ht="15.75">
      <c r="A88" s="635" t="s">
        <v>257</v>
      </c>
      <c r="B88" s="636"/>
      <c r="C88" s="637"/>
      <c r="D88" s="638"/>
    </row>
    <row r="89" spans="1:7">
      <c r="A89" s="44" t="s">
        <v>260</v>
      </c>
      <c r="B89" s="315"/>
      <c r="C89" s="412"/>
      <c r="D89" s="413"/>
    </row>
    <row r="90" spans="1:7">
      <c r="A90" s="44" t="s">
        <v>262</v>
      </c>
      <c r="B90" s="315"/>
      <c r="C90" s="412"/>
      <c r="D90" s="413"/>
    </row>
    <row r="91" spans="1:7">
      <c r="A91" s="44" t="s">
        <v>264</v>
      </c>
      <c r="B91" s="315"/>
      <c r="C91" s="412"/>
      <c r="D91" s="413"/>
    </row>
    <row r="92" spans="1:7">
      <c r="A92" s="44" t="s">
        <v>265</v>
      </c>
      <c r="B92" s="1224"/>
      <c r="C92" s="1163"/>
      <c r="D92" s="413"/>
    </row>
    <row r="93" spans="1:7">
      <c r="A93" s="63" t="s">
        <v>525</v>
      </c>
      <c r="B93" s="315"/>
      <c r="C93" s="412"/>
      <c r="D93" s="413"/>
    </row>
    <row r="94" spans="1:7">
      <c r="A94" s="44" t="s">
        <v>267</v>
      </c>
      <c r="B94" s="315"/>
      <c r="C94" s="412"/>
      <c r="D94" s="413"/>
    </row>
    <row r="95" spans="1:7">
      <c r="A95" s="44" t="s">
        <v>269</v>
      </c>
      <c r="B95" s="315"/>
      <c r="C95" s="412"/>
      <c r="D95" s="413"/>
    </row>
    <row r="96" spans="1:7">
      <c r="A96" s="44" t="s">
        <v>271</v>
      </c>
      <c r="B96" s="315"/>
      <c r="C96" s="412"/>
      <c r="D96" s="413"/>
    </row>
    <row r="97" spans="1:4">
      <c r="A97" s="44" t="s">
        <v>275</v>
      </c>
      <c r="B97" s="315"/>
      <c r="C97" s="1161"/>
      <c r="D97" s="1225"/>
    </row>
    <row r="98" spans="1:4">
      <c r="A98" s="44" t="s">
        <v>278</v>
      </c>
      <c r="B98" s="315"/>
      <c r="C98" s="412"/>
      <c r="D98" s="413"/>
    </row>
    <row r="99" spans="1:4">
      <c r="A99" s="44" t="s">
        <v>343</v>
      </c>
      <c r="B99" s="315"/>
      <c r="C99" s="412"/>
      <c r="D99" s="413"/>
    </row>
    <row r="100" spans="1:4">
      <c r="A100" s="44" t="s">
        <v>284</v>
      </c>
      <c r="B100" s="315"/>
      <c r="C100" s="412"/>
      <c r="D100" s="413"/>
    </row>
    <row r="101" spans="1:4">
      <c r="A101" s="68" t="s">
        <v>288</v>
      </c>
      <c r="B101" s="315"/>
      <c r="C101" s="412"/>
      <c r="D101" s="413"/>
    </row>
    <row r="102" spans="1:4">
      <c r="B102" s="424"/>
      <c r="C102" s="425"/>
      <c r="D102" s="426"/>
    </row>
  </sheetData>
  <mergeCells count="47">
    <mergeCell ref="C5:D5"/>
    <mergeCell ref="B6:F6"/>
    <mergeCell ref="C7:F7"/>
    <mergeCell ref="C39:F39"/>
    <mergeCell ref="A40:F40"/>
    <mergeCell ref="A41:F41"/>
    <mergeCell ref="A42:F42"/>
    <mergeCell ref="A53:F53"/>
    <mergeCell ref="B54:G54"/>
    <mergeCell ref="C55:E55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86:G86"/>
    <mergeCell ref="B92:C92"/>
    <mergeCell ref="C97:D97"/>
    <mergeCell ref="A1:A4"/>
    <mergeCell ref="A6:A8"/>
    <mergeCell ref="B1:F4"/>
    <mergeCell ref="F81:G81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</mergeCells>
  <pageMargins left="0" right="0" top="0" bottom="0" header="0" footer="0"/>
  <pageSetup paperSize="9" orientation="portrait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2"/>
  <sheetViews>
    <sheetView workbookViewId="0">
      <selection activeCell="F40" sqref="F40"/>
    </sheetView>
  </sheetViews>
  <sheetFormatPr baseColWidth="10" defaultColWidth="11" defaultRowHeight="15"/>
  <cols>
    <col min="1" max="1" width="24.7109375" customWidth="1"/>
    <col min="4" max="4" width="9" customWidth="1"/>
    <col min="5" max="5" width="9.42578125" customWidth="1"/>
    <col min="6" max="8" width="10.5703125" customWidth="1"/>
    <col min="9" max="9" width="26.7109375" customWidth="1"/>
    <col min="12" max="13" width="9.85546875" customWidth="1"/>
    <col min="14" max="14" width="10.140625" customWidth="1"/>
    <col min="15" max="15" width="8.28515625" customWidth="1"/>
  </cols>
  <sheetData>
    <row r="1" spans="1:14" ht="18.75">
      <c r="A1" s="1083"/>
      <c r="B1" s="1311" t="s">
        <v>538</v>
      </c>
      <c r="C1" s="1311"/>
      <c r="D1" s="1311"/>
      <c r="E1" s="1311"/>
      <c r="F1" s="1311"/>
      <c r="G1" s="1311"/>
      <c r="I1" s="1348" t="s">
        <v>539</v>
      </c>
      <c r="J1" s="1348"/>
      <c r="K1" s="1348"/>
      <c r="L1" s="1348"/>
      <c r="M1" s="1348"/>
    </row>
    <row r="2" spans="1:14">
      <c r="A2" s="1083"/>
      <c r="B2" s="1311"/>
      <c r="C2" s="1311"/>
      <c r="D2" s="1311"/>
      <c r="E2" s="1311"/>
      <c r="F2" s="1311"/>
      <c r="G2" s="1311"/>
      <c r="I2" s="1349">
        <v>45748</v>
      </c>
      <c r="J2" s="1349"/>
      <c r="K2" s="1350"/>
      <c r="L2" s="1350"/>
      <c r="M2" s="1350"/>
      <c r="N2" s="353"/>
    </row>
    <row r="3" spans="1:14" ht="15.75">
      <c r="A3" s="1083"/>
      <c r="B3" s="1311"/>
      <c r="C3" s="1311"/>
      <c r="D3" s="1311"/>
      <c r="E3" s="1311"/>
      <c r="F3" s="1311"/>
      <c r="G3" s="1311"/>
      <c r="I3" s="1310"/>
      <c r="J3" s="1351" t="s">
        <v>5</v>
      </c>
      <c r="K3" s="1352"/>
      <c r="L3" s="552" t="s">
        <v>6</v>
      </c>
      <c r="M3" s="553" t="s">
        <v>434</v>
      </c>
      <c r="N3" s="554"/>
    </row>
    <row r="4" spans="1:14" ht="15.75">
      <c r="A4" s="1083"/>
      <c r="B4" s="1311"/>
      <c r="C4" s="1311"/>
      <c r="D4" s="1311"/>
      <c r="E4" s="1311"/>
      <c r="F4" s="1311"/>
      <c r="G4" s="1311"/>
      <c r="I4" s="1275"/>
      <c r="J4" s="555" t="s">
        <v>540</v>
      </c>
      <c r="K4" s="555" t="s">
        <v>157</v>
      </c>
      <c r="L4" s="556" t="s">
        <v>541</v>
      </c>
      <c r="M4" s="557" t="s">
        <v>542</v>
      </c>
      <c r="N4" s="558"/>
    </row>
    <row r="5" spans="1:14" ht="15.75">
      <c r="A5" s="431"/>
      <c r="B5" s="431"/>
      <c r="C5" s="1126">
        <v>2025</v>
      </c>
      <c r="D5" s="1126"/>
      <c r="E5" s="2"/>
      <c r="F5" s="2"/>
      <c r="G5" s="432"/>
      <c r="I5" s="364">
        <v>45748</v>
      </c>
      <c r="J5" s="1353" t="s">
        <v>449</v>
      </c>
      <c r="K5" s="1354"/>
      <c r="L5" s="559" t="s">
        <v>457</v>
      </c>
      <c r="M5" s="560"/>
      <c r="N5" s="561"/>
    </row>
    <row r="6" spans="1:14" ht="15.75">
      <c r="A6" s="1134" t="s">
        <v>2</v>
      </c>
      <c r="B6" s="1312" t="s">
        <v>543</v>
      </c>
      <c r="C6" s="1313"/>
      <c r="D6" s="1313"/>
      <c r="E6" s="1314"/>
      <c r="F6" s="1317" t="s">
        <v>544</v>
      </c>
      <c r="G6" s="1318"/>
      <c r="H6" s="1272"/>
      <c r="I6" s="364">
        <v>45749</v>
      </c>
      <c r="J6" s="1336" t="s">
        <v>73</v>
      </c>
      <c r="K6" s="1337"/>
      <c r="L6" s="562" t="s">
        <v>34</v>
      </c>
      <c r="M6" s="563"/>
      <c r="N6" s="561"/>
    </row>
    <row r="7" spans="1:14" ht="15.75">
      <c r="A7" s="1135"/>
      <c r="B7" s="1182"/>
      <c r="C7" s="1315"/>
      <c r="D7" s="1315"/>
      <c r="E7" s="1316"/>
      <c r="F7" s="1319"/>
      <c r="G7" s="1320"/>
      <c r="H7" s="1321"/>
      <c r="I7" s="364">
        <v>45750</v>
      </c>
      <c r="J7" s="564" t="s">
        <v>34</v>
      </c>
      <c r="K7" s="565" t="s">
        <v>456</v>
      </c>
      <c r="L7" s="566" t="s">
        <v>458</v>
      </c>
      <c r="M7" s="567" t="s">
        <v>459</v>
      </c>
      <c r="N7" s="561"/>
    </row>
    <row r="8" spans="1:14" ht="15.75">
      <c r="A8" s="1275"/>
      <c r="B8" s="568" t="s">
        <v>8</v>
      </c>
      <c r="C8" s="569" t="s">
        <v>9</v>
      </c>
      <c r="D8" s="569" t="s">
        <v>10</v>
      </c>
      <c r="E8" s="570" t="s">
        <v>7</v>
      </c>
      <c r="F8" s="571" t="s">
        <v>545</v>
      </c>
      <c r="G8" s="1338" t="s">
        <v>546</v>
      </c>
      <c r="H8" s="1154"/>
      <c r="I8" s="364">
        <v>45751</v>
      </c>
      <c r="J8" s="572"/>
      <c r="K8" s="573" t="s">
        <v>449</v>
      </c>
      <c r="L8" s="574" t="s">
        <v>446</v>
      </c>
      <c r="M8" s="575" t="s">
        <v>456</v>
      </c>
      <c r="N8" s="561"/>
    </row>
    <row r="9" spans="1:14" ht="15.75">
      <c r="A9" s="364">
        <v>45748</v>
      </c>
      <c r="B9" s="1339" t="s">
        <v>457</v>
      </c>
      <c r="C9" s="1340"/>
      <c r="D9" s="1340"/>
      <c r="E9" s="1341"/>
      <c r="F9" s="1342" t="s">
        <v>457</v>
      </c>
      <c r="G9" s="1343"/>
      <c r="H9" s="1344"/>
      <c r="I9" s="364">
        <v>45752</v>
      </c>
      <c r="J9" s="572"/>
      <c r="K9" s="573" t="s">
        <v>34</v>
      </c>
      <c r="L9" s="574" t="s">
        <v>455</v>
      </c>
      <c r="M9" s="575" t="s">
        <v>449</v>
      </c>
      <c r="N9" s="561"/>
    </row>
    <row r="10" spans="1:14" ht="15.75">
      <c r="A10" s="364">
        <v>45749</v>
      </c>
      <c r="B10" s="1345" t="s">
        <v>21</v>
      </c>
      <c r="C10" s="1346"/>
      <c r="D10" s="1346" t="s">
        <v>163</v>
      </c>
      <c r="E10" s="1347"/>
      <c r="F10" s="1305" t="s">
        <v>34</v>
      </c>
      <c r="G10" s="1306"/>
      <c r="H10" s="1307"/>
      <c r="I10" s="364">
        <v>45753</v>
      </c>
      <c r="J10" s="572" t="s">
        <v>73</v>
      </c>
      <c r="K10" s="573" t="s">
        <v>456</v>
      </c>
      <c r="L10" s="574" t="s">
        <v>476</v>
      </c>
      <c r="M10" s="576" t="s">
        <v>459</v>
      </c>
      <c r="N10" s="561"/>
    </row>
    <row r="11" spans="1:14" ht="15.75">
      <c r="A11" s="364">
        <v>45750</v>
      </c>
      <c r="B11" s="577" t="s">
        <v>547</v>
      </c>
      <c r="C11" s="366" t="s">
        <v>21</v>
      </c>
      <c r="D11" s="366" t="s">
        <v>14</v>
      </c>
      <c r="E11" s="367" t="s">
        <v>457</v>
      </c>
      <c r="F11" s="578"/>
      <c r="G11" s="579" t="s">
        <v>458</v>
      </c>
      <c r="H11" s="518"/>
      <c r="I11" s="364">
        <v>45754</v>
      </c>
      <c r="J11" s="572" t="s">
        <v>73</v>
      </c>
      <c r="K11" s="573" t="s">
        <v>449</v>
      </c>
      <c r="L11" s="580" t="s">
        <v>459</v>
      </c>
      <c r="M11" s="576" t="s">
        <v>459</v>
      </c>
      <c r="N11" s="561"/>
    </row>
    <row r="12" spans="1:14" ht="15.75">
      <c r="A12" s="364">
        <v>45751</v>
      </c>
      <c r="B12" s="581" t="s">
        <v>33</v>
      </c>
      <c r="C12" s="309" t="s">
        <v>436</v>
      </c>
      <c r="D12" s="309" t="s">
        <v>185</v>
      </c>
      <c r="E12" s="310" t="s">
        <v>14</v>
      </c>
      <c r="F12" s="578"/>
      <c r="G12" s="579" t="s">
        <v>446</v>
      </c>
      <c r="H12" s="518" t="s">
        <v>350</v>
      </c>
      <c r="I12" s="364">
        <v>45755</v>
      </c>
      <c r="J12" s="572" t="s">
        <v>73</v>
      </c>
      <c r="K12" s="573" t="s">
        <v>34</v>
      </c>
      <c r="L12" s="582" t="s">
        <v>457</v>
      </c>
      <c r="M12" s="576" t="s">
        <v>459</v>
      </c>
      <c r="N12" s="561"/>
    </row>
    <row r="13" spans="1:14" ht="15.75">
      <c r="A13" s="364">
        <v>45752</v>
      </c>
      <c r="B13" s="406" t="s">
        <v>547</v>
      </c>
      <c r="C13" s="49"/>
      <c r="D13" s="49" t="s">
        <v>455</v>
      </c>
      <c r="E13" s="50"/>
      <c r="F13" s="578" t="s">
        <v>516</v>
      </c>
      <c r="G13" s="579" t="s">
        <v>455</v>
      </c>
      <c r="H13" s="518"/>
      <c r="I13" s="364">
        <v>45756</v>
      </c>
      <c r="J13" s="572" t="s">
        <v>34</v>
      </c>
      <c r="K13" s="573" t="s">
        <v>73</v>
      </c>
      <c r="L13" s="582" t="s">
        <v>456</v>
      </c>
      <c r="M13" s="576" t="s">
        <v>459</v>
      </c>
      <c r="N13" s="561"/>
    </row>
    <row r="14" spans="1:14" ht="15.75">
      <c r="A14" s="364">
        <v>45753</v>
      </c>
      <c r="B14" s="406" t="s">
        <v>547</v>
      </c>
      <c r="C14" s="49" t="s">
        <v>21</v>
      </c>
      <c r="D14" s="49" t="s">
        <v>14</v>
      </c>
      <c r="E14" s="50" t="s">
        <v>457</v>
      </c>
      <c r="F14" s="578" t="s">
        <v>516</v>
      </c>
      <c r="G14" s="579" t="s">
        <v>476</v>
      </c>
      <c r="H14" s="518"/>
      <c r="I14" s="364">
        <v>45757</v>
      </c>
      <c r="J14" s="572" t="s">
        <v>73</v>
      </c>
      <c r="K14" s="573" t="s">
        <v>449</v>
      </c>
      <c r="L14" s="582" t="s">
        <v>458</v>
      </c>
      <c r="M14" s="576" t="s">
        <v>459</v>
      </c>
      <c r="N14" s="561"/>
    </row>
    <row r="15" spans="1:14" ht="15.75">
      <c r="A15" s="364">
        <v>45754</v>
      </c>
      <c r="B15" s="406" t="s">
        <v>547</v>
      </c>
      <c r="C15" s="49" t="s">
        <v>21</v>
      </c>
      <c r="D15" s="49" t="s">
        <v>14</v>
      </c>
      <c r="E15" s="50" t="s">
        <v>457</v>
      </c>
      <c r="F15" s="578"/>
      <c r="G15" s="583" t="s">
        <v>459</v>
      </c>
      <c r="H15" s="518" t="s">
        <v>17</v>
      </c>
      <c r="I15" s="364">
        <v>45758</v>
      </c>
      <c r="J15" s="572"/>
      <c r="K15" s="573" t="s">
        <v>34</v>
      </c>
      <c r="L15" s="582" t="s">
        <v>446</v>
      </c>
      <c r="M15" s="575" t="s">
        <v>449</v>
      </c>
      <c r="N15" s="561"/>
    </row>
    <row r="16" spans="1:14" ht="15.75">
      <c r="A16" s="364">
        <v>45755</v>
      </c>
      <c r="B16" s="406" t="s">
        <v>547</v>
      </c>
      <c r="C16" s="49" t="s">
        <v>21</v>
      </c>
      <c r="D16" s="49" t="s">
        <v>14</v>
      </c>
      <c r="E16" s="50" t="s">
        <v>457</v>
      </c>
      <c r="F16" s="578"/>
      <c r="G16" s="584" t="s">
        <v>457</v>
      </c>
      <c r="H16" s="518" t="s">
        <v>455</v>
      </c>
      <c r="I16" s="364">
        <v>45759</v>
      </c>
      <c r="J16" s="572"/>
      <c r="K16" s="573" t="s">
        <v>456</v>
      </c>
      <c r="L16" s="582" t="s">
        <v>455</v>
      </c>
      <c r="M16" s="575" t="s">
        <v>34</v>
      </c>
      <c r="N16" s="561"/>
    </row>
    <row r="17" spans="1:14" ht="15.75">
      <c r="A17" s="364">
        <v>45756</v>
      </c>
      <c r="B17" s="406" t="s">
        <v>547</v>
      </c>
      <c r="C17" s="49" t="s">
        <v>21</v>
      </c>
      <c r="D17" s="49" t="s">
        <v>14</v>
      </c>
      <c r="E17" s="50" t="s">
        <v>457</v>
      </c>
      <c r="F17" s="578" t="s">
        <v>516</v>
      </c>
      <c r="G17" s="584" t="s">
        <v>456</v>
      </c>
      <c r="H17" s="518"/>
      <c r="I17" s="364">
        <v>45760</v>
      </c>
      <c r="J17" s="572" t="s">
        <v>73</v>
      </c>
      <c r="K17" s="573" t="s">
        <v>449</v>
      </c>
      <c r="L17" s="582" t="s">
        <v>476</v>
      </c>
      <c r="M17" s="576" t="s">
        <v>459</v>
      </c>
      <c r="N17" s="561"/>
    </row>
    <row r="18" spans="1:14" ht="15.75">
      <c r="A18" s="364">
        <v>45757</v>
      </c>
      <c r="B18" s="406" t="s">
        <v>547</v>
      </c>
      <c r="C18" s="49" t="s">
        <v>21</v>
      </c>
      <c r="D18" s="49" t="s">
        <v>14</v>
      </c>
      <c r="E18" s="50" t="s">
        <v>457</v>
      </c>
      <c r="F18" s="578" t="s">
        <v>516</v>
      </c>
      <c r="G18" s="584" t="s">
        <v>403</v>
      </c>
      <c r="H18" s="518" t="s">
        <v>446</v>
      </c>
      <c r="I18" s="364">
        <v>45761</v>
      </c>
      <c r="J18" s="572" t="s">
        <v>73</v>
      </c>
      <c r="K18" s="573" t="s">
        <v>34</v>
      </c>
      <c r="L18" s="574" t="s">
        <v>459</v>
      </c>
      <c r="M18" s="576" t="s">
        <v>459</v>
      </c>
      <c r="N18" s="561"/>
    </row>
    <row r="19" spans="1:14" ht="15.75">
      <c r="A19" s="364">
        <v>45758</v>
      </c>
      <c r="B19" s="581" t="s">
        <v>33</v>
      </c>
      <c r="C19" s="585" t="s">
        <v>436</v>
      </c>
      <c r="D19" s="309" t="s">
        <v>185</v>
      </c>
      <c r="E19" s="310" t="s">
        <v>14</v>
      </c>
      <c r="F19" s="578"/>
      <c r="G19" s="584" t="s">
        <v>446</v>
      </c>
      <c r="H19" s="518" t="s">
        <v>350</v>
      </c>
      <c r="I19" s="364">
        <v>45762</v>
      </c>
      <c r="J19" s="572" t="s">
        <v>73</v>
      </c>
      <c r="K19" s="573" t="s">
        <v>456</v>
      </c>
      <c r="L19" s="574" t="s">
        <v>457</v>
      </c>
      <c r="M19" s="576" t="s">
        <v>459</v>
      </c>
      <c r="N19" s="561"/>
    </row>
    <row r="20" spans="1:14" ht="15.75">
      <c r="A20" s="364">
        <v>45759</v>
      </c>
      <c r="B20" s="406" t="s">
        <v>547</v>
      </c>
      <c r="C20" s="479" t="s">
        <v>33</v>
      </c>
      <c r="D20" s="49" t="s">
        <v>109</v>
      </c>
      <c r="E20" s="50"/>
      <c r="F20" s="578"/>
      <c r="G20" s="584" t="s">
        <v>455</v>
      </c>
      <c r="H20" s="518" t="s">
        <v>146</v>
      </c>
      <c r="I20" s="364">
        <v>45763</v>
      </c>
      <c r="J20" s="572" t="s">
        <v>449</v>
      </c>
      <c r="K20" s="573" t="s">
        <v>73</v>
      </c>
      <c r="L20" s="574" t="s">
        <v>449</v>
      </c>
      <c r="M20" s="576" t="s">
        <v>459</v>
      </c>
      <c r="N20" s="561"/>
    </row>
    <row r="21" spans="1:14" ht="15.75">
      <c r="A21" s="364">
        <v>45760</v>
      </c>
      <c r="B21" s="406" t="s">
        <v>547</v>
      </c>
      <c r="C21" s="479" t="s">
        <v>21</v>
      </c>
      <c r="D21" s="49" t="s">
        <v>14</v>
      </c>
      <c r="E21" s="50" t="s">
        <v>457</v>
      </c>
      <c r="F21" s="578" t="s">
        <v>516</v>
      </c>
      <c r="G21" s="584" t="s">
        <v>476</v>
      </c>
      <c r="H21" s="518" t="s">
        <v>403</v>
      </c>
      <c r="I21" s="364">
        <v>45764</v>
      </c>
      <c r="J21" s="572" t="s">
        <v>73</v>
      </c>
      <c r="K21" s="573" t="s">
        <v>34</v>
      </c>
      <c r="L21" s="574" t="s">
        <v>458</v>
      </c>
      <c r="M21" s="576" t="s">
        <v>459</v>
      </c>
      <c r="N21" s="561"/>
    </row>
    <row r="22" spans="1:14" ht="15.75">
      <c r="A22" s="364">
        <v>45761</v>
      </c>
      <c r="B22" s="406" t="s">
        <v>547</v>
      </c>
      <c r="C22" s="479" t="s">
        <v>21</v>
      </c>
      <c r="D22" s="49" t="s">
        <v>14</v>
      </c>
      <c r="E22" s="50" t="s">
        <v>457</v>
      </c>
      <c r="F22" s="578" t="s">
        <v>516</v>
      </c>
      <c r="G22" s="579" t="s">
        <v>459</v>
      </c>
      <c r="H22" s="518" t="s">
        <v>350</v>
      </c>
      <c r="I22" s="364">
        <v>45765</v>
      </c>
      <c r="J22" s="572"/>
      <c r="K22" s="573" t="s">
        <v>456</v>
      </c>
      <c r="L22" s="574" t="s">
        <v>446</v>
      </c>
      <c r="M22" s="575" t="s">
        <v>34</v>
      </c>
      <c r="N22" s="561"/>
    </row>
    <row r="23" spans="1:14" ht="15.75">
      <c r="A23" s="364">
        <v>45762</v>
      </c>
      <c r="B23" s="406" t="s">
        <v>547</v>
      </c>
      <c r="C23" s="479" t="s">
        <v>21</v>
      </c>
      <c r="D23" s="49" t="s">
        <v>14</v>
      </c>
      <c r="E23" s="50" t="s">
        <v>457</v>
      </c>
      <c r="F23" s="578"/>
      <c r="G23" s="579" t="s">
        <v>457</v>
      </c>
      <c r="H23" s="518" t="s">
        <v>109</v>
      </c>
      <c r="I23" s="364">
        <v>45766</v>
      </c>
      <c r="J23" s="572"/>
      <c r="K23" s="573" t="s">
        <v>449</v>
      </c>
      <c r="L23" s="574" t="s">
        <v>455</v>
      </c>
      <c r="M23" s="575" t="s">
        <v>456</v>
      </c>
      <c r="N23" s="561"/>
    </row>
    <row r="24" spans="1:14" ht="15.75">
      <c r="A24" s="364">
        <v>45763</v>
      </c>
      <c r="B24" s="406" t="s">
        <v>547</v>
      </c>
      <c r="C24" s="479" t="s">
        <v>21</v>
      </c>
      <c r="D24" s="49" t="s">
        <v>14</v>
      </c>
      <c r="E24" s="50" t="s">
        <v>457</v>
      </c>
      <c r="F24" s="578"/>
      <c r="G24" s="579" t="s">
        <v>449</v>
      </c>
      <c r="H24" s="518" t="s">
        <v>476</v>
      </c>
      <c r="I24" s="364">
        <v>45767</v>
      </c>
      <c r="J24" s="572" t="s">
        <v>73</v>
      </c>
      <c r="K24" s="573" t="s">
        <v>34</v>
      </c>
      <c r="L24" s="574" t="s">
        <v>476</v>
      </c>
      <c r="M24" s="576" t="s">
        <v>459</v>
      </c>
      <c r="N24" s="561"/>
    </row>
    <row r="25" spans="1:14" ht="15.75">
      <c r="A25" s="364">
        <v>45764</v>
      </c>
      <c r="B25" s="406" t="s">
        <v>547</v>
      </c>
      <c r="C25" s="479" t="s">
        <v>21</v>
      </c>
      <c r="D25" s="49" t="s">
        <v>14</v>
      </c>
      <c r="E25" s="50" t="s">
        <v>457</v>
      </c>
      <c r="F25" s="578" t="s">
        <v>516</v>
      </c>
      <c r="G25" s="579" t="s">
        <v>458</v>
      </c>
      <c r="H25" s="518" t="s">
        <v>403</v>
      </c>
      <c r="I25" s="364">
        <v>45768</v>
      </c>
      <c r="J25" s="572" t="s">
        <v>73</v>
      </c>
      <c r="K25" s="573" t="s">
        <v>73</v>
      </c>
      <c r="L25" s="574" t="s">
        <v>459</v>
      </c>
      <c r="M25" s="576" t="s">
        <v>459</v>
      </c>
      <c r="N25" s="561"/>
    </row>
    <row r="26" spans="1:14" ht="15.75">
      <c r="A26" s="364">
        <v>45765</v>
      </c>
      <c r="B26" s="581" t="s">
        <v>33</v>
      </c>
      <c r="C26" s="309" t="s">
        <v>436</v>
      </c>
      <c r="D26" s="309" t="s">
        <v>185</v>
      </c>
      <c r="E26" s="310" t="s">
        <v>14</v>
      </c>
      <c r="F26" s="578" t="s">
        <v>516</v>
      </c>
      <c r="G26" s="579" t="s">
        <v>446</v>
      </c>
      <c r="H26" s="518" t="s">
        <v>350</v>
      </c>
      <c r="I26" s="364">
        <v>45769</v>
      </c>
      <c r="J26" s="572" t="s">
        <v>73</v>
      </c>
      <c r="K26" s="573" t="s">
        <v>449</v>
      </c>
      <c r="L26" s="574" t="s">
        <v>457</v>
      </c>
      <c r="M26" s="576" t="s">
        <v>459</v>
      </c>
      <c r="N26" s="561"/>
    </row>
    <row r="27" spans="1:14" ht="15.75">
      <c r="A27" s="364">
        <v>45766</v>
      </c>
      <c r="B27" s="406" t="s">
        <v>547</v>
      </c>
      <c r="C27" s="49"/>
      <c r="D27" s="49" t="s">
        <v>455</v>
      </c>
      <c r="E27" s="50"/>
      <c r="F27" s="578"/>
      <c r="G27" s="579" t="s">
        <v>455</v>
      </c>
      <c r="H27" s="518" t="s">
        <v>17</v>
      </c>
      <c r="I27" s="364">
        <v>45770</v>
      </c>
      <c r="J27" s="572" t="s">
        <v>34</v>
      </c>
      <c r="K27" s="573" t="s">
        <v>73</v>
      </c>
      <c r="L27" s="574" t="s">
        <v>34</v>
      </c>
      <c r="M27" s="576" t="s">
        <v>459</v>
      </c>
      <c r="N27" s="561"/>
    </row>
    <row r="28" spans="1:14" ht="15.75">
      <c r="A28" s="364">
        <v>45767</v>
      </c>
      <c r="B28" s="406" t="s">
        <v>547</v>
      </c>
      <c r="C28" s="49" t="s">
        <v>21</v>
      </c>
      <c r="D28" s="49" t="s">
        <v>14</v>
      </c>
      <c r="E28" s="50" t="s">
        <v>457</v>
      </c>
      <c r="F28" s="578"/>
      <c r="G28" s="579" t="s">
        <v>476</v>
      </c>
      <c r="H28" s="518" t="s">
        <v>110</v>
      </c>
      <c r="I28" s="364">
        <v>45771</v>
      </c>
      <c r="J28" s="572" t="s">
        <v>73</v>
      </c>
      <c r="K28" s="573" t="s">
        <v>456</v>
      </c>
      <c r="L28" s="574" t="s">
        <v>458</v>
      </c>
      <c r="M28" s="576" t="s">
        <v>459</v>
      </c>
      <c r="N28" s="561"/>
    </row>
    <row r="29" spans="1:14" ht="15.75">
      <c r="A29" s="364">
        <v>45768</v>
      </c>
      <c r="B29" s="406" t="s">
        <v>547</v>
      </c>
      <c r="C29" s="49" t="s">
        <v>21</v>
      </c>
      <c r="D29" s="49" t="s">
        <v>14</v>
      </c>
      <c r="E29" s="50" t="s">
        <v>457</v>
      </c>
      <c r="F29" s="578" t="s">
        <v>516</v>
      </c>
      <c r="G29" s="579" t="s">
        <v>458</v>
      </c>
      <c r="H29" s="518" t="s">
        <v>403</v>
      </c>
      <c r="I29" s="364">
        <v>45772</v>
      </c>
      <c r="J29" s="572"/>
      <c r="K29" s="573" t="s">
        <v>449</v>
      </c>
      <c r="L29" s="574" t="s">
        <v>446</v>
      </c>
      <c r="M29" s="575" t="s">
        <v>456</v>
      </c>
      <c r="N29" s="561"/>
    </row>
    <row r="30" spans="1:14" ht="15.75">
      <c r="A30" s="364">
        <v>45769</v>
      </c>
      <c r="B30" s="406" t="s">
        <v>547</v>
      </c>
      <c r="C30" s="49" t="s">
        <v>21</v>
      </c>
      <c r="D30" s="49" t="s">
        <v>14</v>
      </c>
      <c r="E30" s="50" t="s">
        <v>457</v>
      </c>
      <c r="F30" s="578" t="s">
        <v>516</v>
      </c>
      <c r="G30" s="579" t="s">
        <v>457</v>
      </c>
      <c r="H30" s="518" t="s">
        <v>109</v>
      </c>
      <c r="I30" s="364">
        <v>45773</v>
      </c>
      <c r="J30" s="572"/>
      <c r="K30" s="573" t="s">
        <v>34</v>
      </c>
      <c r="L30" s="574" t="s">
        <v>455</v>
      </c>
      <c r="M30" s="575" t="s">
        <v>449</v>
      </c>
      <c r="N30" s="561"/>
    </row>
    <row r="31" spans="1:14" ht="15.75">
      <c r="A31" s="364">
        <v>45770</v>
      </c>
      <c r="B31" s="406" t="s">
        <v>547</v>
      </c>
      <c r="C31" s="49" t="s">
        <v>21</v>
      </c>
      <c r="D31" s="49" t="s">
        <v>14</v>
      </c>
      <c r="E31" s="50" t="s">
        <v>457</v>
      </c>
      <c r="F31" s="578"/>
      <c r="G31" s="579" t="s">
        <v>34</v>
      </c>
      <c r="H31" s="518" t="s">
        <v>476</v>
      </c>
      <c r="I31" s="364">
        <v>45774</v>
      </c>
      <c r="J31" s="572" t="s">
        <v>73</v>
      </c>
      <c r="K31" s="573" t="s">
        <v>456</v>
      </c>
      <c r="L31" s="574" t="s">
        <v>476</v>
      </c>
      <c r="M31" s="576" t="s">
        <v>459</v>
      </c>
      <c r="N31" s="561"/>
    </row>
    <row r="32" spans="1:14" ht="15.75">
      <c r="A32" s="364">
        <v>45771</v>
      </c>
      <c r="B32" s="406" t="s">
        <v>547</v>
      </c>
      <c r="C32" s="49" t="s">
        <v>21</v>
      </c>
      <c r="D32" s="49" t="s">
        <v>14</v>
      </c>
      <c r="E32" s="50" t="s">
        <v>457</v>
      </c>
      <c r="F32" s="578"/>
      <c r="G32" s="579" t="s">
        <v>458</v>
      </c>
      <c r="H32" s="518" t="s">
        <v>446</v>
      </c>
      <c r="I32" s="364">
        <v>45775</v>
      </c>
      <c r="J32" s="572" t="s">
        <v>73</v>
      </c>
      <c r="K32" s="573" t="s">
        <v>449</v>
      </c>
      <c r="L32" s="574" t="s">
        <v>459</v>
      </c>
      <c r="M32" s="576" t="s">
        <v>459</v>
      </c>
      <c r="N32" s="561"/>
    </row>
    <row r="33" spans="1:16" ht="15.75">
      <c r="A33" s="364">
        <v>45772</v>
      </c>
      <c r="B33" s="581" t="s">
        <v>33</v>
      </c>
      <c r="C33" s="309" t="s">
        <v>436</v>
      </c>
      <c r="D33" s="309" t="s">
        <v>185</v>
      </c>
      <c r="E33" s="310" t="s">
        <v>14</v>
      </c>
      <c r="F33" s="578" t="s">
        <v>516</v>
      </c>
      <c r="G33" s="579" t="s">
        <v>446</v>
      </c>
      <c r="H33" s="518" t="s">
        <v>350</v>
      </c>
      <c r="I33" s="364">
        <v>45776</v>
      </c>
      <c r="J33" s="572" t="s">
        <v>73</v>
      </c>
      <c r="K33" s="573" t="s">
        <v>34</v>
      </c>
      <c r="L33" s="574" t="s">
        <v>457</v>
      </c>
      <c r="M33" s="576" t="s">
        <v>459</v>
      </c>
      <c r="N33" s="561"/>
    </row>
    <row r="34" spans="1:16" ht="15.75">
      <c r="A34" s="364">
        <v>45773</v>
      </c>
      <c r="B34" s="406" t="s">
        <v>547</v>
      </c>
      <c r="C34" s="49"/>
      <c r="D34" s="49" t="s">
        <v>455</v>
      </c>
      <c r="E34" s="50"/>
      <c r="F34" s="578" t="s">
        <v>516</v>
      </c>
      <c r="G34" s="579" t="s">
        <v>455</v>
      </c>
      <c r="H34" s="518" t="s">
        <v>403</v>
      </c>
      <c r="I34" s="364">
        <v>45777</v>
      </c>
      <c r="J34" s="586" t="s">
        <v>456</v>
      </c>
      <c r="K34" s="587" t="s">
        <v>73</v>
      </c>
      <c r="L34" s="588" t="s">
        <v>456</v>
      </c>
      <c r="M34" s="560" t="s">
        <v>459</v>
      </c>
      <c r="N34" s="561"/>
    </row>
    <row r="35" spans="1:16" ht="15.75">
      <c r="A35" s="364">
        <v>45774</v>
      </c>
      <c r="B35" s="406" t="s">
        <v>547</v>
      </c>
      <c r="C35" s="49" t="s">
        <v>21</v>
      </c>
      <c r="D35" s="49" t="s">
        <v>14</v>
      </c>
      <c r="E35" s="50" t="s">
        <v>457</v>
      </c>
      <c r="F35" s="578"/>
      <c r="G35" s="579" t="s">
        <v>476</v>
      </c>
      <c r="H35" s="518" t="s">
        <v>146</v>
      </c>
      <c r="I35" s="589"/>
      <c r="J35" s="590"/>
      <c r="K35" s="270"/>
      <c r="L35" s="591"/>
      <c r="M35" s="592"/>
      <c r="N35" s="593"/>
    </row>
    <row r="36" spans="1:16" ht="15.75">
      <c r="A36" s="364">
        <v>45775</v>
      </c>
      <c r="B36" s="406" t="s">
        <v>547</v>
      </c>
      <c r="C36" s="49" t="s">
        <v>21</v>
      </c>
      <c r="D36" s="49" t="s">
        <v>14</v>
      </c>
      <c r="E36" s="50" t="s">
        <v>457</v>
      </c>
      <c r="F36" s="578"/>
      <c r="G36" s="579" t="s">
        <v>459</v>
      </c>
      <c r="H36" s="518" t="s">
        <v>161</v>
      </c>
      <c r="I36" s="1332"/>
      <c r="J36" s="1333"/>
      <c r="K36" s="15" t="s">
        <v>542</v>
      </c>
      <c r="L36" s="15" t="s">
        <v>548</v>
      </c>
      <c r="M36" s="297" t="s">
        <v>549</v>
      </c>
      <c r="N36" s="298" t="s">
        <v>550</v>
      </c>
      <c r="O36" s="1334" t="s">
        <v>479</v>
      </c>
      <c r="P36" s="1335"/>
    </row>
    <row r="37" spans="1:16" ht="15.75">
      <c r="A37" s="364">
        <v>45776</v>
      </c>
      <c r="B37" s="406" t="s">
        <v>547</v>
      </c>
      <c r="C37" s="49" t="s">
        <v>21</v>
      </c>
      <c r="D37" s="49" t="s">
        <v>14</v>
      </c>
      <c r="E37" s="50" t="s">
        <v>457</v>
      </c>
      <c r="F37" s="578" t="s">
        <v>516</v>
      </c>
      <c r="G37" s="579" t="s">
        <v>457</v>
      </c>
      <c r="H37" s="518" t="s">
        <v>109</v>
      </c>
      <c r="I37" s="496" t="s">
        <v>551</v>
      </c>
      <c r="J37" s="496"/>
      <c r="K37" s="303"/>
      <c r="L37" s="304"/>
      <c r="M37" s="305"/>
      <c r="N37" s="306"/>
      <c r="O37" s="1150"/>
      <c r="P37" s="1151"/>
    </row>
    <row r="38" spans="1:16" ht="15.75">
      <c r="A38" s="414">
        <v>45777</v>
      </c>
      <c r="B38" s="406" t="s">
        <v>547</v>
      </c>
      <c r="C38" s="49" t="s">
        <v>21</v>
      </c>
      <c r="D38" s="49" t="s">
        <v>14</v>
      </c>
      <c r="E38" s="594" t="s">
        <v>457</v>
      </c>
      <c r="F38" s="578" t="s">
        <v>516</v>
      </c>
      <c r="G38" s="595" t="s">
        <v>456</v>
      </c>
      <c r="H38" s="596" t="s">
        <v>476</v>
      </c>
      <c r="I38" s="1328" t="s">
        <v>213</v>
      </c>
      <c r="J38" s="1329"/>
      <c r="K38" s="315"/>
      <c r="L38" s="316"/>
      <c r="M38" s="317"/>
      <c r="N38" s="318"/>
      <c r="O38" s="1188"/>
      <c r="P38" s="1189"/>
    </row>
    <row r="39" spans="1:16" ht="15.75">
      <c r="A39" s="414"/>
      <c r="B39" s="597"/>
      <c r="C39" s="598"/>
      <c r="D39" s="598"/>
      <c r="E39" s="599"/>
      <c r="F39" s="600"/>
      <c r="G39" s="598"/>
      <c r="H39" s="601"/>
      <c r="I39" s="1328" t="s">
        <v>552</v>
      </c>
      <c r="J39" s="1329"/>
      <c r="K39" s="315"/>
      <c r="L39" s="316"/>
      <c r="M39" s="317"/>
      <c r="N39" s="318"/>
      <c r="O39" s="1188"/>
      <c r="P39" s="1189"/>
    </row>
    <row r="40" spans="1:16">
      <c r="I40" s="1328" t="s">
        <v>212</v>
      </c>
      <c r="J40" s="1329"/>
      <c r="K40" s="315"/>
      <c r="L40" s="316"/>
      <c r="M40" s="317"/>
      <c r="N40" s="318"/>
      <c r="O40" s="1188"/>
      <c r="P40" s="1189"/>
    </row>
    <row r="41" spans="1:16">
      <c r="I41" s="1330" t="s">
        <v>553</v>
      </c>
      <c r="J41" s="1331"/>
      <c r="K41" s="322"/>
      <c r="L41" s="316"/>
      <c r="M41" s="317"/>
      <c r="N41" s="318"/>
      <c r="O41" s="1188"/>
      <c r="P41" s="1189"/>
    </row>
    <row r="42" spans="1:16">
      <c r="I42" s="1326" t="s">
        <v>554</v>
      </c>
      <c r="J42" s="1327"/>
      <c r="K42" s="315"/>
      <c r="L42" s="316"/>
      <c r="M42" s="317"/>
      <c r="N42" s="318"/>
      <c r="O42" s="1188"/>
      <c r="P42" s="1189"/>
    </row>
    <row r="43" spans="1:16">
      <c r="I43" s="1322" t="s">
        <v>555</v>
      </c>
      <c r="J43" s="1323"/>
      <c r="K43" s="315"/>
      <c r="L43" s="316"/>
      <c r="M43" s="317"/>
      <c r="N43" s="318"/>
      <c r="O43" s="1188"/>
      <c r="P43" s="1189"/>
    </row>
    <row r="44" spans="1:16">
      <c r="I44" s="1322" t="s">
        <v>556</v>
      </c>
      <c r="J44" s="1323"/>
      <c r="K44" s="315"/>
      <c r="L44" s="316"/>
      <c r="M44" s="317"/>
      <c r="N44" s="318"/>
      <c r="O44" s="1188"/>
      <c r="P44" s="1189"/>
    </row>
    <row r="45" spans="1:16">
      <c r="I45" s="1322" t="s">
        <v>557</v>
      </c>
      <c r="J45" s="1323"/>
      <c r="K45" s="315"/>
      <c r="L45" s="316"/>
      <c r="M45" s="317"/>
      <c r="N45" s="318"/>
      <c r="O45" s="1188"/>
      <c r="P45" s="1189"/>
    </row>
    <row r="46" spans="1:16">
      <c r="I46" s="1322" t="s">
        <v>558</v>
      </c>
      <c r="J46" s="1323"/>
      <c r="K46" s="322"/>
      <c r="L46" s="330"/>
      <c r="M46" s="317"/>
      <c r="N46" s="318"/>
      <c r="O46" s="1188"/>
      <c r="P46" s="1189"/>
    </row>
    <row r="47" spans="1:16">
      <c r="I47" s="1322" t="s">
        <v>222</v>
      </c>
      <c r="J47" s="1323"/>
      <c r="K47" s="315"/>
      <c r="L47" s="316"/>
      <c r="M47" s="317"/>
      <c r="N47" s="318"/>
      <c r="O47" s="1188"/>
      <c r="P47" s="1189"/>
    </row>
    <row r="48" spans="1:16">
      <c r="I48" s="1322" t="s">
        <v>559</v>
      </c>
      <c r="J48" s="1323"/>
      <c r="K48" s="315"/>
      <c r="L48" s="316"/>
      <c r="M48" s="317"/>
      <c r="N48" s="318"/>
      <c r="O48" s="1188"/>
      <c r="P48" s="1189"/>
    </row>
    <row r="49" spans="9:16">
      <c r="I49" s="197" t="s">
        <v>560</v>
      </c>
      <c r="J49" s="326"/>
      <c r="K49" s="315"/>
      <c r="L49" s="316"/>
      <c r="M49" s="317"/>
      <c r="N49" s="318"/>
      <c r="O49" s="1188"/>
      <c r="P49" s="1189"/>
    </row>
    <row r="50" spans="9:16">
      <c r="I50" s="197" t="s">
        <v>561</v>
      </c>
      <c r="J50" s="326"/>
      <c r="K50" s="331"/>
      <c r="L50" s="332"/>
      <c r="M50" s="333"/>
      <c r="N50" s="334"/>
      <c r="O50" s="1324"/>
      <c r="P50" s="1325"/>
    </row>
    <row r="51" spans="9:16">
      <c r="I51" s="1322" t="s">
        <v>562</v>
      </c>
      <c r="J51" s="1323"/>
      <c r="K51" s="322"/>
      <c r="L51" s="317"/>
      <c r="M51" s="317"/>
      <c r="N51" s="318"/>
      <c r="O51" s="1188"/>
      <c r="P51" s="1189"/>
    </row>
    <row r="52" spans="9:16">
      <c r="I52" s="1308"/>
      <c r="J52" s="1309"/>
      <c r="K52" s="337"/>
      <c r="L52" s="338"/>
      <c r="M52" s="338"/>
      <c r="N52" s="339"/>
      <c r="O52" s="1200"/>
      <c r="P52" s="1197"/>
    </row>
  </sheetData>
  <mergeCells count="49">
    <mergeCell ref="I1:M1"/>
    <mergeCell ref="I2:M2"/>
    <mergeCell ref="J3:K3"/>
    <mergeCell ref="C5:D5"/>
    <mergeCell ref="J5:K5"/>
    <mergeCell ref="J6:K6"/>
    <mergeCell ref="G8:H8"/>
    <mergeCell ref="B9:E9"/>
    <mergeCell ref="F9:H9"/>
    <mergeCell ref="B10:C10"/>
    <mergeCell ref="D10:E10"/>
    <mergeCell ref="F10:H10"/>
    <mergeCell ref="I36:J36"/>
    <mergeCell ref="O36:P36"/>
    <mergeCell ref="O37:P37"/>
    <mergeCell ref="I38:J38"/>
    <mergeCell ref="O38:P38"/>
    <mergeCell ref="I39:J39"/>
    <mergeCell ref="O39:P39"/>
    <mergeCell ref="I40:J40"/>
    <mergeCell ref="O40:P40"/>
    <mergeCell ref="I41:J41"/>
    <mergeCell ref="O41:P41"/>
    <mergeCell ref="I46:J46"/>
    <mergeCell ref="O46:P46"/>
    <mergeCell ref="I47:J47"/>
    <mergeCell ref="O47:P47"/>
    <mergeCell ref="I42:J42"/>
    <mergeCell ref="O42:P42"/>
    <mergeCell ref="I43:J43"/>
    <mergeCell ref="O43:P43"/>
    <mergeCell ref="I44:J44"/>
    <mergeCell ref="O44:P44"/>
    <mergeCell ref="I52:J52"/>
    <mergeCell ref="O52:P52"/>
    <mergeCell ref="A1:A4"/>
    <mergeCell ref="A6:A8"/>
    <mergeCell ref="I3:I4"/>
    <mergeCell ref="B1:G4"/>
    <mergeCell ref="B6:E7"/>
    <mergeCell ref="F6:H7"/>
    <mergeCell ref="I48:J48"/>
    <mergeCell ref="O48:P48"/>
    <mergeCell ref="O49:P49"/>
    <mergeCell ref="O50:P50"/>
    <mergeCell ref="I51:J51"/>
    <mergeCell ref="O51:P51"/>
    <mergeCell ref="I45:J45"/>
    <mergeCell ref="O45:P45"/>
  </mergeCells>
  <pageMargins left="0" right="0" top="0" bottom="0" header="0" footer="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2"/>
  <sheetViews>
    <sheetView topLeftCell="B2" workbookViewId="0">
      <selection activeCell="S37" sqref="S37"/>
    </sheetView>
  </sheetViews>
  <sheetFormatPr baseColWidth="10" defaultColWidth="11" defaultRowHeight="15"/>
  <cols>
    <col min="1" max="1" width="23.85546875" customWidth="1"/>
    <col min="2" max="4" width="10.7109375" customWidth="1"/>
    <col min="5" max="5" width="8.42578125" customWidth="1"/>
    <col min="6" max="6" width="10.7109375" customWidth="1"/>
    <col min="7" max="8" width="9.85546875" customWidth="1"/>
    <col min="9" max="9" width="24.7109375" customWidth="1"/>
  </cols>
  <sheetData>
    <row r="1" spans="1:15" ht="18.75">
      <c r="A1" s="1083"/>
      <c r="B1" s="1311" t="s">
        <v>575</v>
      </c>
      <c r="C1" s="1311"/>
      <c r="D1" s="1311"/>
      <c r="E1" s="1311"/>
      <c r="F1" s="1311"/>
      <c r="G1" s="1311"/>
      <c r="I1" s="1348" t="s">
        <v>539</v>
      </c>
      <c r="J1" s="1348"/>
      <c r="K1" s="1348"/>
      <c r="L1" s="1348"/>
      <c r="M1" s="1348"/>
      <c r="O1">
        <f ca="1">A1:O52</f>
        <v>0</v>
      </c>
    </row>
    <row r="2" spans="1:15">
      <c r="A2" s="1083"/>
      <c r="B2" s="1311"/>
      <c r="C2" s="1311"/>
      <c r="D2" s="1311"/>
      <c r="E2" s="1311"/>
      <c r="F2" s="1311"/>
      <c r="G2" s="1311"/>
      <c r="I2" s="1349">
        <v>45809</v>
      </c>
      <c r="J2" s="1349"/>
      <c r="K2" s="1350"/>
      <c r="L2" s="1350"/>
      <c r="M2" s="1350"/>
      <c r="N2" s="353"/>
    </row>
    <row r="3" spans="1:15" ht="15.75">
      <c r="A3" s="1083"/>
      <c r="B3" s="1311"/>
      <c r="C3" s="1311"/>
      <c r="D3" s="1311"/>
      <c r="E3" s="1311"/>
      <c r="F3" s="1311"/>
      <c r="G3" s="1311"/>
      <c r="I3" s="1355"/>
      <c r="J3" s="1358" t="s">
        <v>5</v>
      </c>
      <c r="K3" s="1359"/>
      <c r="L3" s="286" t="s">
        <v>6</v>
      </c>
      <c r="M3" s="286" t="s">
        <v>434</v>
      </c>
      <c r="N3" s="354"/>
    </row>
    <row r="4" spans="1:15" ht="15.75">
      <c r="A4" s="1083"/>
      <c r="B4" s="1311"/>
      <c r="C4" s="1311"/>
      <c r="D4" s="1311"/>
      <c r="E4" s="1311"/>
      <c r="F4" s="1311"/>
      <c r="G4" s="1311"/>
      <c r="I4" s="1357"/>
      <c r="J4" s="427" t="s">
        <v>540</v>
      </c>
      <c r="K4" s="428" t="s">
        <v>157</v>
      </c>
      <c r="L4" s="429" t="s">
        <v>168</v>
      </c>
      <c r="M4" s="429" t="s">
        <v>542</v>
      </c>
      <c r="N4" s="430"/>
    </row>
    <row r="5" spans="1:15" ht="15.75">
      <c r="A5" s="431"/>
      <c r="B5" s="431"/>
      <c r="C5" s="1126">
        <v>2025</v>
      </c>
      <c r="D5" s="1126"/>
      <c r="E5" s="2"/>
      <c r="F5" s="2"/>
      <c r="G5" s="432"/>
      <c r="I5" s="355">
        <v>45839</v>
      </c>
      <c r="J5" s="466" t="s">
        <v>576</v>
      </c>
      <c r="K5" s="467" t="s">
        <v>17</v>
      </c>
      <c r="L5" s="361"/>
      <c r="M5" s="468" t="s">
        <v>110</v>
      </c>
      <c r="N5" s="360"/>
    </row>
    <row r="6" spans="1:15" ht="15.75">
      <c r="A6" s="1355" t="s">
        <v>2</v>
      </c>
      <c r="B6" s="1313" t="s">
        <v>543</v>
      </c>
      <c r="C6" s="1313"/>
      <c r="D6" s="1313"/>
      <c r="E6" s="1314"/>
      <c r="F6" s="1317" t="s">
        <v>544</v>
      </c>
      <c r="G6" s="1318"/>
      <c r="H6" s="1272"/>
      <c r="I6" s="355">
        <v>45840</v>
      </c>
      <c r="J6" s="322" t="s">
        <v>577</v>
      </c>
      <c r="K6" s="467" t="s">
        <v>21</v>
      </c>
      <c r="L6" s="362" t="s">
        <v>17</v>
      </c>
      <c r="M6" s="468" t="s">
        <v>110</v>
      </c>
      <c r="N6" s="360"/>
    </row>
    <row r="7" spans="1:15" ht="15.75">
      <c r="A7" s="1356"/>
      <c r="B7" s="1315"/>
      <c r="C7" s="1315"/>
      <c r="D7" s="1315"/>
      <c r="E7" s="1316"/>
      <c r="F7" s="1319"/>
      <c r="G7" s="1320"/>
      <c r="H7" s="1321"/>
      <c r="I7" s="355">
        <v>45841</v>
      </c>
      <c r="J7" s="322" t="s">
        <v>578</v>
      </c>
      <c r="K7" s="467" t="s">
        <v>17</v>
      </c>
      <c r="L7" s="362"/>
      <c r="M7" s="468"/>
      <c r="N7" s="360"/>
    </row>
    <row r="8" spans="1:15" ht="15.75">
      <c r="A8" s="1357"/>
      <c r="B8" s="436" t="s">
        <v>8</v>
      </c>
      <c r="C8" s="12" t="s">
        <v>9</v>
      </c>
      <c r="D8" s="12" t="s">
        <v>10</v>
      </c>
      <c r="E8" s="13" t="s">
        <v>7</v>
      </c>
      <c r="F8" s="437" t="s">
        <v>545</v>
      </c>
      <c r="G8" s="1360" t="s">
        <v>546</v>
      </c>
      <c r="H8" s="1361"/>
      <c r="I8" s="355">
        <v>45842</v>
      </c>
      <c r="J8" s="469" t="s">
        <v>17</v>
      </c>
      <c r="K8" s="470" t="s">
        <v>17</v>
      </c>
      <c r="L8" s="471"/>
      <c r="M8" s="472"/>
      <c r="N8" s="360"/>
    </row>
    <row r="9" spans="1:15" ht="15.75">
      <c r="A9" s="364">
        <v>45839</v>
      </c>
      <c r="B9" s="371" t="s">
        <v>579</v>
      </c>
      <c r="C9" s="104" t="s">
        <v>129</v>
      </c>
      <c r="D9" s="104" t="s">
        <v>14</v>
      </c>
      <c r="E9" s="166" t="s">
        <v>33</v>
      </c>
      <c r="F9" s="473" t="s">
        <v>129</v>
      </c>
      <c r="G9" s="474" t="s">
        <v>110</v>
      </c>
      <c r="H9" s="361" t="s">
        <v>14</v>
      </c>
      <c r="I9" s="355">
        <v>45843</v>
      </c>
      <c r="J9" s="475" t="s">
        <v>130</v>
      </c>
      <c r="K9" s="357" t="s">
        <v>130</v>
      </c>
      <c r="L9" s="476"/>
      <c r="M9" s="477" t="s">
        <v>17</v>
      </c>
      <c r="N9" s="360"/>
    </row>
    <row r="10" spans="1:15" ht="15.75">
      <c r="A10" s="364">
        <v>45840</v>
      </c>
      <c r="B10" s="371" t="s">
        <v>42</v>
      </c>
      <c r="C10" s="104" t="s">
        <v>129</v>
      </c>
      <c r="D10" s="104" t="s">
        <v>14</v>
      </c>
      <c r="E10" s="166" t="s">
        <v>33</v>
      </c>
      <c r="F10" s="52" t="s">
        <v>163</v>
      </c>
      <c r="G10" s="478" t="s">
        <v>129</v>
      </c>
      <c r="H10" s="362" t="s">
        <v>17</v>
      </c>
      <c r="I10" s="355">
        <v>45844</v>
      </c>
      <c r="J10" s="475" t="s">
        <v>17</v>
      </c>
      <c r="K10" s="357" t="s">
        <v>21</v>
      </c>
      <c r="L10" s="476"/>
      <c r="M10" s="479" t="s">
        <v>21</v>
      </c>
      <c r="N10" s="360"/>
    </row>
    <row r="11" spans="1:15" ht="15.75">
      <c r="A11" s="364">
        <v>45841</v>
      </c>
      <c r="B11" s="371" t="s">
        <v>42</v>
      </c>
      <c r="C11" s="104" t="s">
        <v>579</v>
      </c>
      <c r="D11" s="104" t="s">
        <v>14</v>
      </c>
      <c r="E11" s="166" t="s">
        <v>33</v>
      </c>
      <c r="F11" s="53" t="s">
        <v>163</v>
      </c>
      <c r="G11" s="478" t="s">
        <v>161</v>
      </c>
      <c r="H11" s="362" t="s">
        <v>185</v>
      </c>
      <c r="I11" s="355">
        <v>45845</v>
      </c>
      <c r="J11" s="475" t="s">
        <v>580</v>
      </c>
      <c r="K11" s="357" t="s">
        <v>130</v>
      </c>
      <c r="L11" s="476"/>
      <c r="M11" s="479" t="s">
        <v>110</v>
      </c>
      <c r="N11" s="360"/>
    </row>
    <row r="12" spans="1:15" ht="15.75">
      <c r="A12" s="364">
        <v>45842</v>
      </c>
      <c r="B12" s="393" t="s">
        <v>33</v>
      </c>
      <c r="C12" s="379"/>
      <c r="D12" s="379" t="s">
        <v>350</v>
      </c>
      <c r="E12" s="380" t="s">
        <v>14</v>
      </c>
      <c r="F12" s="480" t="s">
        <v>33</v>
      </c>
      <c r="G12" s="481" t="s">
        <v>185</v>
      </c>
      <c r="H12" s="471" t="s">
        <v>350</v>
      </c>
      <c r="I12" s="355">
        <v>45846</v>
      </c>
      <c r="J12" s="475" t="s">
        <v>576</v>
      </c>
      <c r="K12" s="357" t="s">
        <v>17</v>
      </c>
      <c r="L12" s="476"/>
      <c r="M12" s="412" t="s">
        <v>110</v>
      </c>
      <c r="N12" s="360"/>
    </row>
    <row r="13" spans="1:15" ht="15.75">
      <c r="A13" s="364">
        <v>45843</v>
      </c>
      <c r="B13" s="384" t="s">
        <v>42</v>
      </c>
      <c r="C13" s="391" t="s">
        <v>129</v>
      </c>
      <c r="D13" s="391" t="s">
        <v>109</v>
      </c>
      <c r="E13" s="389" t="s">
        <v>579</v>
      </c>
      <c r="F13" s="482" t="s">
        <v>129</v>
      </c>
      <c r="G13" s="483" t="s">
        <v>109</v>
      </c>
      <c r="H13" s="476" t="s">
        <v>403</v>
      </c>
      <c r="I13" s="355">
        <v>45847</v>
      </c>
      <c r="J13" s="475" t="s">
        <v>581</v>
      </c>
      <c r="K13" s="357" t="s">
        <v>21</v>
      </c>
      <c r="L13" s="476" t="s">
        <v>17</v>
      </c>
      <c r="M13" s="484" t="s">
        <v>110</v>
      </c>
      <c r="N13" s="360"/>
    </row>
    <row r="14" spans="1:15" ht="15.75">
      <c r="A14" s="364">
        <v>45844</v>
      </c>
      <c r="B14" s="384" t="s">
        <v>42</v>
      </c>
      <c r="C14" s="391" t="s">
        <v>129</v>
      </c>
      <c r="D14" s="391" t="s">
        <v>14</v>
      </c>
      <c r="E14" s="389" t="s">
        <v>109</v>
      </c>
      <c r="F14" s="482" t="s">
        <v>163</v>
      </c>
      <c r="G14" s="483" t="s">
        <v>17</v>
      </c>
      <c r="H14" s="476" t="s">
        <v>109</v>
      </c>
      <c r="I14" s="355">
        <v>45848</v>
      </c>
      <c r="J14" s="475" t="s">
        <v>582</v>
      </c>
      <c r="K14" s="357" t="s">
        <v>146</v>
      </c>
      <c r="L14" s="476"/>
      <c r="M14" s="477" t="s">
        <v>110</v>
      </c>
      <c r="N14" s="360"/>
    </row>
    <row r="15" spans="1:15" ht="15.75">
      <c r="A15" s="364">
        <v>45845</v>
      </c>
      <c r="B15" s="384" t="s">
        <v>42</v>
      </c>
      <c r="C15" s="391" t="s">
        <v>129</v>
      </c>
      <c r="D15" s="391" t="s">
        <v>14</v>
      </c>
      <c r="E15" s="389" t="s">
        <v>33</v>
      </c>
      <c r="F15" s="482" t="s">
        <v>163</v>
      </c>
      <c r="G15" s="483" t="s">
        <v>110</v>
      </c>
      <c r="H15" s="476" t="s">
        <v>161</v>
      </c>
      <c r="I15" s="355">
        <v>45849</v>
      </c>
      <c r="J15" s="485" t="s">
        <v>130</v>
      </c>
      <c r="K15" s="486" t="s">
        <v>130</v>
      </c>
      <c r="L15" s="487"/>
      <c r="M15" s="488" t="s">
        <v>110</v>
      </c>
      <c r="N15" s="360"/>
    </row>
    <row r="16" spans="1:15" ht="15.75">
      <c r="A16" s="364">
        <v>45846</v>
      </c>
      <c r="B16" s="384" t="s">
        <v>579</v>
      </c>
      <c r="C16" s="391" t="s">
        <v>129</v>
      </c>
      <c r="D16" s="391" t="s">
        <v>14</v>
      </c>
      <c r="E16" s="389" t="s">
        <v>33</v>
      </c>
      <c r="F16" s="53" t="s">
        <v>129</v>
      </c>
      <c r="G16" s="478" t="s">
        <v>109</v>
      </c>
      <c r="H16" s="476" t="s">
        <v>350</v>
      </c>
      <c r="I16" s="489">
        <v>45850</v>
      </c>
      <c r="J16" s="475" t="s">
        <v>17</v>
      </c>
      <c r="K16" s="357" t="s">
        <v>17</v>
      </c>
      <c r="L16" s="476"/>
      <c r="M16" s="477"/>
      <c r="N16" s="360"/>
    </row>
    <row r="17" spans="1:14" ht="15.75">
      <c r="A17" s="364">
        <v>45847</v>
      </c>
      <c r="B17" s="384" t="s">
        <v>42</v>
      </c>
      <c r="C17" s="391" t="s">
        <v>129</v>
      </c>
      <c r="D17" s="391" t="s">
        <v>14</v>
      </c>
      <c r="E17" s="389" t="s">
        <v>33</v>
      </c>
      <c r="F17" s="482"/>
      <c r="G17" s="478" t="s">
        <v>33</v>
      </c>
      <c r="H17" s="476" t="s">
        <v>17</v>
      </c>
      <c r="I17" s="489">
        <v>45851</v>
      </c>
      <c r="J17" s="475" t="s">
        <v>146</v>
      </c>
      <c r="K17" s="357" t="s">
        <v>146</v>
      </c>
      <c r="L17" s="476"/>
      <c r="M17" s="477" t="s">
        <v>21</v>
      </c>
      <c r="N17" s="360"/>
    </row>
    <row r="18" spans="1:14" ht="15.75">
      <c r="A18" s="364">
        <v>45848</v>
      </c>
      <c r="B18" s="384" t="s">
        <v>42</v>
      </c>
      <c r="C18" s="391" t="s">
        <v>579</v>
      </c>
      <c r="D18" s="391" t="s">
        <v>14</v>
      </c>
      <c r="E18" s="389" t="s">
        <v>33</v>
      </c>
      <c r="F18" s="482" t="s">
        <v>163</v>
      </c>
      <c r="G18" s="478" t="s">
        <v>161</v>
      </c>
      <c r="H18" s="476" t="s">
        <v>185</v>
      </c>
      <c r="I18" s="355">
        <v>45852</v>
      </c>
      <c r="J18" s="475" t="s">
        <v>583</v>
      </c>
      <c r="K18" s="357" t="s">
        <v>130</v>
      </c>
      <c r="L18" s="476"/>
      <c r="M18" s="477" t="s">
        <v>110</v>
      </c>
      <c r="N18" s="360"/>
    </row>
    <row r="19" spans="1:14" ht="15.75">
      <c r="A19" s="364">
        <v>45849</v>
      </c>
      <c r="B19" s="393" t="s">
        <v>33</v>
      </c>
      <c r="C19" s="379"/>
      <c r="D19" s="379" t="s">
        <v>350</v>
      </c>
      <c r="E19" s="380" t="s">
        <v>14</v>
      </c>
      <c r="F19" s="490" t="s">
        <v>163</v>
      </c>
      <c r="G19" s="481" t="s">
        <v>185</v>
      </c>
      <c r="H19" s="487" t="s">
        <v>350</v>
      </c>
      <c r="I19" s="355">
        <v>45853</v>
      </c>
      <c r="J19" s="158" t="s">
        <v>576</v>
      </c>
      <c r="K19" s="467" t="s">
        <v>17</v>
      </c>
      <c r="L19" s="362"/>
      <c r="M19" s="468" t="s">
        <v>110</v>
      </c>
      <c r="N19" s="360"/>
    </row>
    <row r="20" spans="1:14" ht="15.75">
      <c r="A20" s="364">
        <v>45850</v>
      </c>
      <c r="B20" s="371" t="s">
        <v>42</v>
      </c>
      <c r="C20" s="104" t="s">
        <v>129</v>
      </c>
      <c r="D20" s="104" t="s">
        <v>109</v>
      </c>
      <c r="E20" s="166" t="s">
        <v>579</v>
      </c>
      <c r="F20" s="53" t="s">
        <v>129</v>
      </c>
      <c r="G20" s="483" t="s">
        <v>109</v>
      </c>
      <c r="H20" s="476" t="s">
        <v>403</v>
      </c>
      <c r="I20" s="355">
        <v>45854</v>
      </c>
      <c r="J20" s="158" t="s">
        <v>584</v>
      </c>
      <c r="K20" s="467" t="s">
        <v>21</v>
      </c>
      <c r="L20" s="362" t="s">
        <v>146</v>
      </c>
      <c r="M20" s="484" t="s">
        <v>110</v>
      </c>
      <c r="N20" s="360"/>
    </row>
    <row r="21" spans="1:14" ht="15.75">
      <c r="A21" s="364">
        <v>45851</v>
      </c>
      <c r="B21" s="371" t="s">
        <v>42</v>
      </c>
      <c r="C21" s="104" t="s">
        <v>129</v>
      </c>
      <c r="D21" s="104" t="s">
        <v>14</v>
      </c>
      <c r="E21" s="166" t="s">
        <v>33</v>
      </c>
      <c r="F21" s="482" t="s">
        <v>33</v>
      </c>
      <c r="G21" s="478" t="s">
        <v>63</v>
      </c>
      <c r="H21" s="476" t="s">
        <v>110</v>
      </c>
      <c r="I21" s="355">
        <v>45855</v>
      </c>
      <c r="J21" s="158" t="s">
        <v>583</v>
      </c>
      <c r="K21" s="467" t="s">
        <v>130</v>
      </c>
      <c r="L21" s="362"/>
      <c r="M21" s="468" t="s">
        <v>110</v>
      </c>
      <c r="N21" s="360"/>
    </row>
    <row r="22" spans="1:14" ht="15.75">
      <c r="A22" s="364">
        <v>45852</v>
      </c>
      <c r="B22" s="371" t="s">
        <v>42</v>
      </c>
      <c r="C22" s="104" t="s">
        <v>110</v>
      </c>
      <c r="D22" s="104" t="s">
        <v>14</v>
      </c>
      <c r="E22" s="166" t="s">
        <v>33</v>
      </c>
      <c r="F22" s="482" t="s">
        <v>33</v>
      </c>
      <c r="G22" s="491" t="s">
        <v>163</v>
      </c>
      <c r="H22" s="476" t="s">
        <v>17</v>
      </c>
      <c r="I22" s="355">
        <v>45856</v>
      </c>
      <c r="J22" s="469" t="s">
        <v>17</v>
      </c>
      <c r="K22" s="470" t="s">
        <v>17</v>
      </c>
      <c r="L22" s="471"/>
      <c r="M22" s="472"/>
      <c r="N22" s="360"/>
    </row>
    <row r="23" spans="1:14" ht="15.75">
      <c r="A23" s="364">
        <v>45853</v>
      </c>
      <c r="B23" s="371" t="s">
        <v>579</v>
      </c>
      <c r="C23" s="104" t="s">
        <v>130</v>
      </c>
      <c r="D23" s="104" t="s">
        <v>14</v>
      </c>
      <c r="E23" s="166" t="s">
        <v>33</v>
      </c>
      <c r="F23" s="482"/>
      <c r="G23" s="478" t="s">
        <v>163</v>
      </c>
      <c r="H23" s="362" t="s">
        <v>146</v>
      </c>
      <c r="I23" s="355">
        <v>45857</v>
      </c>
      <c r="J23" s="158" t="s">
        <v>146</v>
      </c>
      <c r="K23" s="467" t="s">
        <v>146</v>
      </c>
      <c r="L23" s="362"/>
      <c r="M23" s="468"/>
      <c r="N23" s="360"/>
    </row>
    <row r="24" spans="1:14" ht="15.75">
      <c r="A24" s="364">
        <v>45854</v>
      </c>
      <c r="B24" s="371" t="s">
        <v>42</v>
      </c>
      <c r="C24" s="104" t="s">
        <v>579</v>
      </c>
      <c r="D24" s="104" t="s">
        <v>14</v>
      </c>
      <c r="E24" s="166" t="s">
        <v>33</v>
      </c>
      <c r="F24" s="53" t="s">
        <v>33</v>
      </c>
      <c r="G24" s="478" t="s">
        <v>110</v>
      </c>
      <c r="H24" s="362" t="s">
        <v>585</v>
      </c>
      <c r="I24" s="355">
        <v>45858</v>
      </c>
      <c r="J24" s="158" t="s">
        <v>586</v>
      </c>
      <c r="K24" s="467" t="s">
        <v>130</v>
      </c>
      <c r="L24" s="362"/>
      <c r="M24" s="468" t="s">
        <v>110</v>
      </c>
      <c r="N24" s="360"/>
    </row>
    <row r="25" spans="1:14" ht="15.75">
      <c r="A25" s="364">
        <v>45855</v>
      </c>
      <c r="B25" s="371" t="s">
        <v>42</v>
      </c>
      <c r="C25" s="104" t="s">
        <v>579</v>
      </c>
      <c r="D25" s="104" t="s">
        <v>14</v>
      </c>
      <c r="E25" s="166" t="s">
        <v>33</v>
      </c>
      <c r="F25" s="482" t="s">
        <v>33</v>
      </c>
      <c r="G25" s="478" t="s">
        <v>161</v>
      </c>
      <c r="H25" s="362" t="s">
        <v>587</v>
      </c>
      <c r="I25" s="355">
        <v>45859</v>
      </c>
      <c r="J25" s="158" t="s">
        <v>576</v>
      </c>
      <c r="K25" s="467" t="s">
        <v>17</v>
      </c>
      <c r="L25" s="362"/>
      <c r="M25" s="468" t="s">
        <v>110</v>
      </c>
      <c r="N25" s="360"/>
    </row>
    <row r="26" spans="1:14" ht="15.75">
      <c r="A26" s="364">
        <v>45856</v>
      </c>
      <c r="B26" s="393" t="s">
        <v>33</v>
      </c>
      <c r="C26" s="379" t="s">
        <v>588</v>
      </c>
      <c r="D26" s="379" t="s">
        <v>350</v>
      </c>
      <c r="E26" s="380" t="s">
        <v>14</v>
      </c>
      <c r="F26" s="490"/>
      <c r="G26" s="481" t="s">
        <v>33</v>
      </c>
      <c r="H26" s="471" t="s">
        <v>350</v>
      </c>
      <c r="I26" s="355">
        <v>45860</v>
      </c>
      <c r="J26" s="158" t="s">
        <v>582</v>
      </c>
      <c r="K26" s="467" t="s">
        <v>146</v>
      </c>
      <c r="L26" s="362"/>
      <c r="M26" s="468" t="s">
        <v>110</v>
      </c>
      <c r="N26" s="360"/>
    </row>
    <row r="27" spans="1:14" ht="15.75">
      <c r="A27" s="364">
        <v>45857</v>
      </c>
      <c r="B27" s="371" t="s">
        <v>42</v>
      </c>
      <c r="C27" s="104" t="s">
        <v>129</v>
      </c>
      <c r="D27" s="104" t="s">
        <v>588</v>
      </c>
      <c r="E27" s="166" t="s">
        <v>579</v>
      </c>
      <c r="F27" s="482" t="s">
        <v>589</v>
      </c>
      <c r="G27" s="478" t="s">
        <v>163</v>
      </c>
      <c r="H27" s="362" t="s">
        <v>403</v>
      </c>
      <c r="I27" s="355">
        <v>45861</v>
      </c>
      <c r="J27" s="158" t="s">
        <v>586</v>
      </c>
      <c r="K27" s="467" t="s">
        <v>21</v>
      </c>
      <c r="L27" s="362" t="s">
        <v>130</v>
      </c>
      <c r="M27" s="468" t="s">
        <v>110</v>
      </c>
      <c r="N27" s="360"/>
    </row>
    <row r="28" spans="1:14" ht="15.75">
      <c r="A28" s="364">
        <v>45858</v>
      </c>
      <c r="B28" s="371" t="s">
        <v>42</v>
      </c>
      <c r="C28" s="104" t="s">
        <v>129</v>
      </c>
      <c r="D28" s="104" t="s">
        <v>14</v>
      </c>
      <c r="E28" s="166" t="s">
        <v>590</v>
      </c>
      <c r="F28" s="53" t="s">
        <v>33</v>
      </c>
      <c r="G28" s="478" t="s">
        <v>110</v>
      </c>
      <c r="H28" s="362" t="s">
        <v>17</v>
      </c>
      <c r="I28" s="355">
        <v>45862</v>
      </c>
      <c r="J28" s="158" t="s">
        <v>576</v>
      </c>
      <c r="K28" s="467" t="s">
        <v>17</v>
      </c>
      <c r="L28" s="362"/>
      <c r="M28" s="468" t="s">
        <v>591</v>
      </c>
      <c r="N28" s="360"/>
    </row>
    <row r="29" spans="1:14" ht="15.75">
      <c r="A29" s="364">
        <v>45859</v>
      </c>
      <c r="B29" s="371" t="s">
        <v>42</v>
      </c>
      <c r="C29" s="104" t="s">
        <v>129</v>
      </c>
      <c r="D29" s="104" t="s">
        <v>14</v>
      </c>
      <c r="E29" s="166" t="s">
        <v>33</v>
      </c>
      <c r="F29" s="482" t="s">
        <v>33</v>
      </c>
      <c r="G29" s="491" t="s">
        <v>161</v>
      </c>
      <c r="H29" s="362" t="s">
        <v>146</v>
      </c>
      <c r="I29" s="355">
        <v>45863</v>
      </c>
      <c r="J29" s="469" t="s">
        <v>146</v>
      </c>
      <c r="K29" s="470" t="s">
        <v>146</v>
      </c>
      <c r="L29" s="471"/>
      <c r="M29" s="472" t="s">
        <v>161</v>
      </c>
      <c r="N29" s="360"/>
    </row>
    <row r="30" spans="1:14" ht="15.75">
      <c r="A30" s="364">
        <v>45860</v>
      </c>
      <c r="B30" s="371" t="s">
        <v>579</v>
      </c>
      <c r="C30" s="104" t="s">
        <v>129</v>
      </c>
      <c r="D30" s="104" t="s">
        <v>14</v>
      </c>
      <c r="E30" s="166" t="s">
        <v>33</v>
      </c>
      <c r="F30" s="482" t="s">
        <v>129</v>
      </c>
      <c r="G30" s="478" t="s">
        <v>163</v>
      </c>
      <c r="H30" s="362" t="s">
        <v>350</v>
      </c>
      <c r="I30" s="355">
        <v>45864</v>
      </c>
      <c r="J30" s="158" t="s">
        <v>130</v>
      </c>
      <c r="K30" s="467" t="s">
        <v>130</v>
      </c>
      <c r="L30" s="362"/>
      <c r="M30" s="468"/>
      <c r="N30" s="360"/>
    </row>
    <row r="31" spans="1:14" ht="15.75">
      <c r="A31" s="364">
        <v>45861</v>
      </c>
      <c r="B31" s="371" t="s">
        <v>42</v>
      </c>
      <c r="C31" s="104" t="s">
        <v>129</v>
      </c>
      <c r="D31" s="104" t="s">
        <v>14</v>
      </c>
      <c r="E31" s="166" t="s">
        <v>33</v>
      </c>
      <c r="F31" s="482" t="s">
        <v>163</v>
      </c>
      <c r="G31" s="478" t="s">
        <v>129</v>
      </c>
      <c r="H31" s="362" t="s">
        <v>130</v>
      </c>
      <c r="I31" s="355">
        <v>45865</v>
      </c>
      <c r="J31" s="158" t="s">
        <v>17</v>
      </c>
      <c r="K31" s="467" t="s">
        <v>17</v>
      </c>
      <c r="L31" s="362"/>
      <c r="M31" s="468" t="s">
        <v>110</v>
      </c>
      <c r="N31" s="360"/>
    </row>
    <row r="32" spans="1:14" ht="15.75">
      <c r="A32" s="364">
        <v>45862</v>
      </c>
      <c r="B32" s="371" t="s">
        <v>42</v>
      </c>
      <c r="C32" s="104" t="s">
        <v>579</v>
      </c>
      <c r="D32" s="104" t="s">
        <v>14</v>
      </c>
      <c r="E32" s="166" t="s">
        <v>33</v>
      </c>
      <c r="F32" s="53" t="s">
        <v>33</v>
      </c>
      <c r="G32" s="478" t="s">
        <v>161</v>
      </c>
      <c r="H32" s="362" t="s">
        <v>146</v>
      </c>
      <c r="I32" s="355">
        <v>45866</v>
      </c>
      <c r="J32" s="158" t="s">
        <v>582</v>
      </c>
      <c r="K32" s="467" t="s">
        <v>146</v>
      </c>
      <c r="L32" s="362"/>
      <c r="M32" s="468" t="s">
        <v>110</v>
      </c>
      <c r="N32" s="360"/>
    </row>
    <row r="33" spans="1:15" ht="15.75">
      <c r="A33" s="364">
        <v>45863</v>
      </c>
      <c r="B33" s="393" t="s">
        <v>33</v>
      </c>
      <c r="C33" s="379" t="s">
        <v>109</v>
      </c>
      <c r="D33" s="379" t="s">
        <v>350</v>
      </c>
      <c r="E33" s="380" t="s">
        <v>14</v>
      </c>
      <c r="F33" s="490" t="s">
        <v>33</v>
      </c>
      <c r="G33" s="481" t="s">
        <v>109</v>
      </c>
      <c r="H33" s="471" t="s">
        <v>350</v>
      </c>
      <c r="I33" s="355">
        <v>45867</v>
      </c>
      <c r="J33" s="158" t="s">
        <v>580</v>
      </c>
      <c r="K33" s="467" t="s">
        <v>130</v>
      </c>
      <c r="L33" s="362"/>
      <c r="M33" s="468" t="s">
        <v>110</v>
      </c>
      <c r="N33" s="360"/>
    </row>
    <row r="34" spans="1:15" ht="15.75">
      <c r="A34" s="364">
        <v>45864</v>
      </c>
      <c r="B34" s="371" t="s">
        <v>42</v>
      </c>
      <c r="C34" s="104" t="s">
        <v>129</v>
      </c>
      <c r="D34" s="104" t="s">
        <v>109</v>
      </c>
      <c r="E34" s="166" t="s">
        <v>579</v>
      </c>
      <c r="F34" s="482"/>
      <c r="G34" s="483" t="s">
        <v>109</v>
      </c>
      <c r="H34" s="362" t="s">
        <v>163</v>
      </c>
      <c r="I34" s="355">
        <v>45868</v>
      </c>
      <c r="J34" s="322" t="s">
        <v>581</v>
      </c>
      <c r="K34" s="467" t="s">
        <v>21</v>
      </c>
      <c r="L34" s="362" t="s">
        <v>17</v>
      </c>
      <c r="M34" s="468" t="s">
        <v>110</v>
      </c>
      <c r="N34" s="360"/>
    </row>
    <row r="35" spans="1:15" ht="15.75">
      <c r="A35" s="364">
        <v>45865</v>
      </c>
      <c r="B35" s="371" t="s">
        <v>42</v>
      </c>
      <c r="C35" s="104" t="s">
        <v>129</v>
      </c>
      <c r="D35" s="104" t="s">
        <v>14</v>
      </c>
      <c r="E35" s="166" t="s">
        <v>33</v>
      </c>
      <c r="F35" s="482" t="s">
        <v>163</v>
      </c>
      <c r="G35" s="478" t="s">
        <v>110</v>
      </c>
      <c r="H35" s="362" t="s">
        <v>146</v>
      </c>
      <c r="I35" s="355">
        <v>45869</v>
      </c>
      <c r="J35" s="337" t="s">
        <v>582</v>
      </c>
      <c r="K35" s="492" t="s">
        <v>146</v>
      </c>
      <c r="L35" s="493"/>
      <c r="M35" s="494" t="s">
        <v>110</v>
      </c>
      <c r="N35" s="405"/>
    </row>
    <row r="36" spans="1:15" ht="15.75">
      <c r="A36" s="364">
        <v>45866</v>
      </c>
      <c r="B36" s="371" t="s">
        <v>42</v>
      </c>
      <c r="C36" s="104" t="s">
        <v>129</v>
      </c>
      <c r="D36" s="104" t="s">
        <v>14</v>
      </c>
      <c r="E36" s="166" t="s">
        <v>33</v>
      </c>
      <c r="F36" s="53" t="s">
        <v>33</v>
      </c>
      <c r="G36" s="491" t="s">
        <v>161</v>
      </c>
      <c r="H36" s="495" t="s">
        <v>110</v>
      </c>
      <c r="I36" s="1332"/>
      <c r="J36" s="1333"/>
      <c r="K36" s="407" t="s">
        <v>542</v>
      </c>
      <c r="L36" s="407" t="s">
        <v>548</v>
      </c>
      <c r="M36" s="408" t="s">
        <v>549</v>
      </c>
      <c r="N36" s="298" t="s">
        <v>550</v>
      </c>
      <c r="O36" s="8" t="s">
        <v>479</v>
      </c>
    </row>
    <row r="37" spans="1:15" ht="15.75">
      <c r="A37" s="364">
        <v>45867</v>
      </c>
      <c r="B37" s="371" t="s">
        <v>579</v>
      </c>
      <c r="C37" s="104" t="s">
        <v>129</v>
      </c>
      <c r="D37" s="104" t="s">
        <v>14</v>
      </c>
      <c r="E37" s="166" t="s">
        <v>33</v>
      </c>
      <c r="F37" s="482" t="s">
        <v>129</v>
      </c>
      <c r="G37" s="478" t="s">
        <v>17</v>
      </c>
      <c r="H37" s="362" t="s">
        <v>110</v>
      </c>
      <c r="I37" s="496" t="s">
        <v>551</v>
      </c>
      <c r="J37" s="496"/>
      <c r="K37" s="303"/>
      <c r="L37" s="304"/>
      <c r="M37" s="305"/>
      <c r="N37" s="306"/>
      <c r="O37" s="307"/>
    </row>
    <row r="38" spans="1:15" ht="15.75">
      <c r="A38" s="364">
        <v>45868</v>
      </c>
      <c r="B38" s="371" t="s">
        <v>42</v>
      </c>
      <c r="C38" s="104" t="s">
        <v>129</v>
      </c>
      <c r="D38" s="104" t="s">
        <v>14</v>
      </c>
      <c r="E38" s="166" t="s">
        <v>33</v>
      </c>
      <c r="F38" s="482" t="s">
        <v>163</v>
      </c>
      <c r="G38" s="478" t="s">
        <v>129</v>
      </c>
      <c r="H38" s="362" t="s">
        <v>17</v>
      </c>
      <c r="I38" s="1329" t="s">
        <v>213</v>
      </c>
      <c r="J38" s="1329"/>
      <c r="K38" s="315"/>
      <c r="L38" s="316"/>
      <c r="M38" s="317"/>
      <c r="N38" s="318"/>
      <c r="O38" s="319"/>
    </row>
    <row r="39" spans="1:15" ht="15.75">
      <c r="A39" s="364">
        <v>45869</v>
      </c>
      <c r="B39" s="415" t="s">
        <v>42</v>
      </c>
      <c r="C39" s="115" t="s">
        <v>579</v>
      </c>
      <c r="D39" s="115" t="s">
        <v>14</v>
      </c>
      <c r="E39" s="416" t="s">
        <v>33</v>
      </c>
      <c r="F39" s="74" t="s">
        <v>163</v>
      </c>
      <c r="G39" s="497" t="s">
        <v>161</v>
      </c>
      <c r="H39" s="493" t="s">
        <v>110</v>
      </c>
      <c r="I39" s="1329" t="s">
        <v>552</v>
      </c>
      <c r="J39" s="1329"/>
      <c r="K39" s="315"/>
      <c r="L39" s="316"/>
      <c r="M39" s="317"/>
      <c r="N39" s="318"/>
      <c r="O39" s="319"/>
    </row>
    <row r="40" spans="1:15">
      <c r="I40" s="1328" t="s">
        <v>212</v>
      </c>
      <c r="J40" s="1329"/>
      <c r="K40" s="315"/>
      <c r="L40" s="316"/>
      <c r="M40" s="317"/>
      <c r="N40" s="318"/>
      <c r="O40" s="319"/>
    </row>
    <row r="41" spans="1:15">
      <c r="I41" s="1330" t="s">
        <v>565</v>
      </c>
      <c r="J41" s="1331"/>
      <c r="K41" s="322"/>
      <c r="L41" s="316"/>
      <c r="M41" s="317"/>
      <c r="N41" s="318"/>
      <c r="O41" s="319"/>
    </row>
    <row r="42" spans="1:15">
      <c r="I42" s="1326" t="s">
        <v>566</v>
      </c>
      <c r="J42" s="1327"/>
      <c r="K42" s="315"/>
      <c r="L42" s="316"/>
      <c r="M42" s="317"/>
      <c r="N42" s="318"/>
      <c r="O42" s="319"/>
    </row>
    <row r="43" spans="1:15">
      <c r="I43" s="1322" t="s">
        <v>567</v>
      </c>
      <c r="J43" s="1323"/>
      <c r="K43" s="315"/>
      <c r="L43" s="316"/>
      <c r="M43" s="317"/>
      <c r="N43" s="318"/>
      <c r="O43" s="319"/>
    </row>
    <row r="44" spans="1:15">
      <c r="I44" s="1322" t="s">
        <v>568</v>
      </c>
      <c r="J44" s="1323"/>
      <c r="K44" s="315"/>
      <c r="L44" s="316"/>
      <c r="M44" s="317"/>
      <c r="N44" s="318"/>
      <c r="O44" s="319"/>
    </row>
    <row r="45" spans="1:15">
      <c r="I45" s="1322" t="s">
        <v>569</v>
      </c>
      <c r="J45" s="1323"/>
      <c r="K45" s="315"/>
      <c r="L45" s="316"/>
      <c r="M45" s="317"/>
      <c r="N45" s="318"/>
      <c r="O45" s="319"/>
    </row>
    <row r="46" spans="1:15">
      <c r="I46" s="1322" t="s">
        <v>558</v>
      </c>
      <c r="J46" s="1323"/>
      <c r="K46" s="322"/>
      <c r="L46" s="330"/>
      <c r="M46" s="317"/>
      <c r="N46" s="318"/>
      <c r="O46" s="319"/>
    </row>
    <row r="47" spans="1:15">
      <c r="I47" s="1322" t="s">
        <v>222</v>
      </c>
      <c r="J47" s="1323"/>
      <c r="K47" s="315"/>
      <c r="L47" s="316"/>
      <c r="M47" s="317"/>
      <c r="N47" s="318"/>
      <c r="O47" s="319"/>
    </row>
    <row r="48" spans="1:15">
      <c r="I48" s="1322" t="s">
        <v>559</v>
      </c>
      <c r="J48" s="1323"/>
      <c r="K48" s="315"/>
      <c r="L48" s="316"/>
      <c r="M48" s="317"/>
      <c r="N48" s="318"/>
      <c r="O48" s="319"/>
    </row>
    <row r="49" spans="9:15">
      <c r="I49" s="197" t="s">
        <v>560</v>
      </c>
      <c r="J49" s="326"/>
      <c r="K49" s="315"/>
      <c r="L49" s="316"/>
      <c r="M49" s="317"/>
      <c r="N49" s="318"/>
      <c r="O49" s="319"/>
    </row>
    <row r="50" spans="9:15">
      <c r="I50" s="197" t="s">
        <v>561</v>
      </c>
      <c r="J50" s="326"/>
      <c r="K50" s="331"/>
      <c r="L50" s="332"/>
      <c r="M50" s="333"/>
      <c r="N50" s="334"/>
      <c r="O50" s="335"/>
    </row>
    <row r="51" spans="9:15">
      <c r="I51" s="1322" t="s">
        <v>574</v>
      </c>
      <c r="J51" s="1323"/>
      <c r="K51" s="322"/>
      <c r="L51" s="317"/>
      <c r="M51" s="317"/>
      <c r="N51" s="318"/>
      <c r="O51" s="319"/>
    </row>
    <row r="52" spans="9:15">
      <c r="I52" s="1308"/>
      <c r="J52" s="1309"/>
      <c r="K52" s="337"/>
      <c r="L52" s="338"/>
      <c r="M52" s="338"/>
      <c r="N52" s="339"/>
      <c r="O52" s="340"/>
    </row>
  </sheetData>
  <mergeCells count="25">
    <mergeCell ref="I1:M1"/>
    <mergeCell ref="I2:M2"/>
    <mergeCell ref="J3:K3"/>
    <mergeCell ref="I47:J47"/>
    <mergeCell ref="C5:D5"/>
    <mergeCell ref="G8:H8"/>
    <mergeCell ref="I38:J38"/>
    <mergeCell ref="I39:J39"/>
    <mergeCell ref="I40:J40"/>
    <mergeCell ref="I48:J48"/>
    <mergeCell ref="I51:J51"/>
    <mergeCell ref="I52:J52"/>
    <mergeCell ref="A1:A4"/>
    <mergeCell ref="A6:A8"/>
    <mergeCell ref="I3:I4"/>
    <mergeCell ref="B1:G4"/>
    <mergeCell ref="B6:E7"/>
    <mergeCell ref="F6:H7"/>
    <mergeCell ref="I42:J42"/>
    <mergeCell ref="I43:J43"/>
    <mergeCell ref="I44:J44"/>
    <mergeCell ref="I45:J45"/>
    <mergeCell ref="I46:J46"/>
    <mergeCell ref="I36:J36"/>
    <mergeCell ref="I41:J41"/>
  </mergeCells>
  <pageMargins left="0" right="0" top="0" bottom="0" header="0" footer="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2"/>
  <sheetViews>
    <sheetView topLeftCell="A6" workbookViewId="0">
      <selection activeCell="I60" sqref="I60"/>
    </sheetView>
  </sheetViews>
  <sheetFormatPr baseColWidth="10" defaultColWidth="11" defaultRowHeight="15"/>
  <cols>
    <col min="1" max="1" width="22" customWidth="1"/>
    <col min="2" max="5" width="11.140625" customWidth="1"/>
    <col min="6" max="8" width="10.7109375" customWidth="1"/>
    <col min="9" max="9" width="23.28515625" customWidth="1"/>
    <col min="14" max="15" width="10.28515625" customWidth="1"/>
    <col min="16" max="16" width="9" customWidth="1"/>
  </cols>
  <sheetData>
    <row r="1" spans="1:14" ht="18.75">
      <c r="A1" s="1083"/>
      <c r="B1" s="1311" t="s">
        <v>563</v>
      </c>
      <c r="C1" s="1311"/>
      <c r="D1" s="1311"/>
      <c r="E1" s="1311"/>
      <c r="F1" s="1311"/>
      <c r="G1" s="1311"/>
      <c r="I1" s="1348" t="s">
        <v>539</v>
      </c>
      <c r="J1" s="1348"/>
      <c r="K1" s="1348"/>
      <c r="L1" s="1348"/>
      <c r="M1" s="1348"/>
    </row>
    <row r="2" spans="1:14">
      <c r="A2" s="1083"/>
      <c r="B2" s="1311"/>
      <c r="C2" s="1311"/>
      <c r="D2" s="1311"/>
      <c r="E2" s="1311"/>
      <c r="F2" s="1311"/>
      <c r="G2" s="1311"/>
      <c r="I2" s="1349">
        <v>45778</v>
      </c>
      <c r="J2" s="1349"/>
      <c r="K2" s="1350"/>
      <c r="L2" s="1350"/>
      <c r="M2" s="1350"/>
      <c r="N2" s="353"/>
    </row>
    <row r="3" spans="1:14" ht="15.75">
      <c r="A3" s="1083"/>
      <c r="B3" s="1311"/>
      <c r="C3" s="1311"/>
      <c r="D3" s="1311"/>
      <c r="E3" s="1311"/>
      <c r="F3" s="1311"/>
      <c r="G3" s="1311"/>
      <c r="I3" s="1310"/>
      <c r="J3" s="1358" t="s">
        <v>5</v>
      </c>
      <c r="K3" s="1359"/>
      <c r="L3" s="286" t="s">
        <v>6</v>
      </c>
      <c r="M3" s="286" t="s">
        <v>434</v>
      </c>
      <c r="N3" s="354"/>
    </row>
    <row r="4" spans="1:14" ht="15.75">
      <c r="A4" s="1083"/>
      <c r="B4" s="1311"/>
      <c r="C4" s="1311"/>
      <c r="D4" s="1311"/>
      <c r="E4" s="1311"/>
      <c r="F4" s="1311"/>
      <c r="G4" s="1311"/>
      <c r="I4" s="1275"/>
      <c r="J4" s="427" t="s">
        <v>540</v>
      </c>
      <c r="K4" s="428" t="s">
        <v>157</v>
      </c>
      <c r="L4" s="429" t="s">
        <v>168</v>
      </c>
      <c r="M4" s="429" t="s">
        <v>542</v>
      </c>
      <c r="N4" s="430"/>
    </row>
    <row r="5" spans="1:14" ht="15.75">
      <c r="A5" s="431"/>
      <c r="B5" s="431"/>
      <c r="C5" s="1126">
        <v>2025</v>
      </c>
      <c r="D5" s="1126"/>
      <c r="E5" s="2"/>
      <c r="F5" s="2"/>
      <c r="G5" s="432"/>
      <c r="I5" s="355">
        <v>45778</v>
      </c>
      <c r="J5" s="92" t="s">
        <v>21</v>
      </c>
      <c r="K5" s="523" t="s">
        <v>146</v>
      </c>
      <c r="L5" s="441"/>
      <c r="M5" s="23" t="s">
        <v>110</v>
      </c>
      <c r="N5" s="360"/>
    </row>
    <row r="6" spans="1:14" ht="15.75">
      <c r="A6" s="1134" t="s">
        <v>2</v>
      </c>
      <c r="B6" s="1312" t="s">
        <v>543</v>
      </c>
      <c r="C6" s="1313"/>
      <c r="D6" s="1313"/>
      <c r="E6" s="1314"/>
      <c r="F6" s="1317" t="s">
        <v>544</v>
      </c>
      <c r="G6" s="1318"/>
      <c r="H6" s="1272"/>
      <c r="I6" s="355">
        <v>45779</v>
      </c>
      <c r="J6" s="92"/>
      <c r="K6" s="524" t="s">
        <v>17</v>
      </c>
      <c r="L6" s="447"/>
      <c r="M6" s="42"/>
      <c r="N6" s="360"/>
    </row>
    <row r="7" spans="1:14" ht="15.75">
      <c r="A7" s="1135"/>
      <c r="B7" s="1182"/>
      <c r="C7" s="1315"/>
      <c r="D7" s="1315"/>
      <c r="E7" s="1316"/>
      <c r="F7" s="1319"/>
      <c r="G7" s="1320"/>
      <c r="H7" s="1321"/>
      <c r="I7" s="355">
        <v>45780</v>
      </c>
      <c r="J7" s="92"/>
      <c r="K7" s="525" t="s">
        <v>130</v>
      </c>
      <c r="L7" s="447"/>
      <c r="M7" s="42"/>
      <c r="N7" s="360"/>
    </row>
    <row r="8" spans="1:14" ht="15.75">
      <c r="A8" s="1275"/>
      <c r="B8" s="11" t="s">
        <v>8</v>
      </c>
      <c r="C8" s="12" t="s">
        <v>9</v>
      </c>
      <c r="D8" s="12" t="s">
        <v>10</v>
      </c>
      <c r="E8" s="526" t="s">
        <v>7</v>
      </c>
      <c r="F8" s="437" t="s">
        <v>545</v>
      </c>
      <c r="G8" s="1360" t="s">
        <v>546</v>
      </c>
      <c r="H8" s="1361"/>
      <c r="I8" s="355">
        <v>45781</v>
      </c>
      <c r="J8" s="92" t="s">
        <v>21</v>
      </c>
      <c r="K8" s="525" t="s">
        <v>146</v>
      </c>
      <c r="L8" s="447"/>
      <c r="M8" s="42" t="s">
        <v>110</v>
      </c>
      <c r="N8" s="360"/>
    </row>
    <row r="9" spans="1:14" ht="15.75">
      <c r="A9" s="364">
        <v>45778</v>
      </c>
      <c r="B9" s="438" t="s">
        <v>42</v>
      </c>
      <c r="C9" s="22" t="s">
        <v>129</v>
      </c>
      <c r="D9" s="22" t="s">
        <v>14</v>
      </c>
      <c r="E9" s="527"/>
      <c r="F9" s="30" t="s">
        <v>17</v>
      </c>
      <c r="G9" s="441" t="s">
        <v>161</v>
      </c>
      <c r="H9" s="528" t="s">
        <v>185</v>
      </c>
      <c r="I9" s="489">
        <v>45782</v>
      </c>
      <c r="J9" s="92" t="s">
        <v>21</v>
      </c>
      <c r="K9" s="525" t="s">
        <v>17</v>
      </c>
      <c r="L9" s="447"/>
      <c r="M9" s="42" t="s">
        <v>110</v>
      </c>
      <c r="N9" s="360"/>
    </row>
    <row r="10" spans="1:14" ht="15.75">
      <c r="A10" s="364">
        <v>45779</v>
      </c>
      <c r="B10" s="529" t="s">
        <v>449</v>
      </c>
      <c r="C10" s="530" t="s">
        <v>350</v>
      </c>
      <c r="D10" s="531" t="s">
        <v>185</v>
      </c>
      <c r="E10" s="532" t="s">
        <v>14</v>
      </c>
      <c r="F10" s="41"/>
      <c r="G10" s="447" t="s">
        <v>185</v>
      </c>
      <c r="H10" s="533" t="s">
        <v>350</v>
      </c>
      <c r="I10" s="489">
        <v>45783</v>
      </c>
      <c r="J10" s="92" t="s">
        <v>21</v>
      </c>
      <c r="K10" s="525" t="s">
        <v>130</v>
      </c>
      <c r="L10" s="447"/>
      <c r="M10" s="42" t="s">
        <v>110</v>
      </c>
      <c r="N10" s="360"/>
    </row>
    <row r="11" spans="1:14" ht="15.75">
      <c r="A11" s="364">
        <v>45780</v>
      </c>
      <c r="B11" s="529" t="s">
        <v>42</v>
      </c>
      <c r="C11" s="33" t="s">
        <v>129</v>
      </c>
      <c r="D11" s="33" t="s">
        <v>109</v>
      </c>
      <c r="E11" s="34"/>
      <c r="F11" s="38" t="s">
        <v>129</v>
      </c>
      <c r="G11" s="447" t="s">
        <v>109</v>
      </c>
      <c r="H11" s="532" t="s">
        <v>163</v>
      </c>
      <c r="I11" s="489">
        <v>45784</v>
      </c>
      <c r="J11" s="466" t="s">
        <v>146</v>
      </c>
      <c r="K11" s="534" t="s">
        <v>21</v>
      </c>
      <c r="L11" s="535" t="s">
        <v>146</v>
      </c>
      <c r="M11" s="51" t="s">
        <v>110</v>
      </c>
      <c r="N11" s="360"/>
    </row>
    <row r="12" spans="1:14" ht="15.75">
      <c r="A12" s="364">
        <v>45781</v>
      </c>
      <c r="B12" s="529" t="s">
        <v>42</v>
      </c>
      <c r="C12" s="33" t="s">
        <v>129</v>
      </c>
      <c r="D12" s="33" t="s">
        <v>14</v>
      </c>
      <c r="E12" s="34"/>
      <c r="F12" s="38" t="s">
        <v>163</v>
      </c>
      <c r="G12" s="447" t="s">
        <v>14</v>
      </c>
      <c r="H12" s="532" t="s">
        <v>110</v>
      </c>
      <c r="I12" s="489">
        <v>45785</v>
      </c>
      <c r="J12" s="466" t="s">
        <v>21</v>
      </c>
      <c r="K12" s="534" t="s">
        <v>17</v>
      </c>
      <c r="L12" s="511"/>
      <c r="M12" s="51" t="s">
        <v>110</v>
      </c>
      <c r="N12" s="360"/>
    </row>
    <row r="13" spans="1:14" ht="15.75">
      <c r="A13" s="364">
        <v>45782</v>
      </c>
      <c r="B13" s="529" t="s">
        <v>42</v>
      </c>
      <c r="C13" s="33" t="s">
        <v>129</v>
      </c>
      <c r="D13" s="33" t="s">
        <v>14</v>
      </c>
      <c r="E13" s="34"/>
      <c r="F13" s="38" t="s">
        <v>564</v>
      </c>
      <c r="G13" s="447" t="s">
        <v>161</v>
      </c>
      <c r="H13" s="532" t="s">
        <v>350</v>
      </c>
      <c r="I13" s="489">
        <v>45786</v>
      </c>
      <c r="J13" s="536"/>
      <c r="K13" s="537" t="s">
        <v>130</v>
      </c>
      <c r="L13" s="538"/>
      <c r="M13" s="539"/>
      <c r="N13" s="360"/>
    </row>
    <row r="14" spans="1:14" ht="15.75">
      <c r="A14" s="364">
        <v>45783</v>
      </c>
      <c r="B14" s="529" t="s">
        <v>42</v>
      </c>
      <c r="C14" s="33" t="s">
        <v>129</v>
      </c>
      <c r="D14" s="33" t="s">
        <v>14</v>
      </c>
      <c r="E14" s="34"/>
      <c r="F14" s="38" t="s">
        <v>163</v>
      </c>
      <c r="G14" s="447" t="s">
        <v>129</v>
      </c>
      <c r="H14" s="532" t="s">
        <v>109</v>
      </c>
      <c r="I14" s="489">
        <v>45787</v>
      </c>
      <c r="J14" s="466"/>
      <c r="K14" s="534" t="s">
        <v>146</v>
      </c>
      <c r="L14" s="511"/>
      <c r="M14" s="540"/>
      <c r="N14" s="360"/>
    </row>
    <row r="15" spans="1:14" ht="15.75">
      <c r="A15" s="364">
        <v>45784</v>
      </c>
      <c r="B15" s="406" t="s">
        <v>42</v>
      </c>
      <c r="C15" s="49" t="s">
        <v>129</v>
      </c>
      <c r="D15" s="49" t="s">
        <v>14</v>
      </c>
      <c r="E15" s="50" t="s">
        <v>33</v>
      </c>
      <c r="F15" s="53" t="s">
        <v>163</v>
      </c>
      <c r="G15" s="535" t="s">
        <v>17</v>
      </c>
      <c r="H15" s="392" t="s">
        <v>146</v>
      </c>
      <c r="I15" s="489">
        <v>45788</v>
      </c>
      <c r="J15" s="466"/>
      <c r="K15" s="534" t="s">
        <v>17</v>
      </c>
      <c r="L15" s="511"/>
      <c r="M15" s="541" t="s">
        <v>182</v>
      </c>
      <c r="N15" s="360"/>
    </row>
    <row r="16" spans="1:14" ht="15.75">
      <c r="A16" s="364">
        <v>45785</v>
      </c>
      <c r="B16" s="406" t="s">
        <v>42</v>
      </c>
      <c r="C16" s="49" t="s">
        <v>129</v>
      </c>
      <c r="D16" s="49" t="s">
        <v>14</v>
      </c>
      <c r="E16" s="50" t="s">
        <v>33</v>
      </c>
      <c r="F16" s="53" t="s">
        <v>163</v>
      </c>
      <c r="G16" s="361" t="s">
        <v>161</v>
      </c>
      <c r="H16" s="392" t="s">
        <v>185</v>
      </c>
      <c r="I16" s="489">
        <v>45789</v>
      </c>
      <c r="J16" s="466"/>
      <c r="K16" s="534" t="s">
        <v>130</v>
      </c>
      <c r="L16" s="511"/>
      <c r="M16" s="541" t="s">
        <v>182</v>
      </c>
      <c r="N16" s="360"/>
    </row>
    <row r="17" spans="1:14" ht="15.75">
      <c r="A17" s="364">
        <v>45786</v>
      </c>
      <c r="B17" s="542" t="s">
        <v>457</v>
      </c>
      <c r="C17" s="543" t="s">
        <v>350</v>
      </c>
      <c r="D17" s="543" t="s">
        <v>185</v>
      </c>
      <c r="E17" s="544" t="s">
        <v>14</v>
      </c>
      <c r="F17" s="53" t="s">
        <v>33</v>
      </c>
      <c r="G17" s="362" t="s">
        <v>185</v>
      </c>
      <c r="H17" s="392" t="s">
        <v>350</v>
      </c>
      <c r="I17" s="489">
        <v>45790</v>
      </c>
      <c r="J17" s="466"/>
      <c r="K17" s="534" t="s">
        <v>146</v>
      </c>
      <c r="L17" s="511"/>
      <c r="M17" s="541" t="s">
        <v>182</v>
      </c>
      <c r="N17" s="360"/>
    </row>
    <row r="18" spans="1:14" ht="15.75">
      <c r="A18" s="364">
        <v>45787</v>
      </c>
      <c r="B18" s="406" t="s">
        <v>42</v>
      </c>
      <c r="C18" s="49" t="s">
        <v>129</v>
      </c>
      <c r="D18" s="49" t="s">
        <v>109</v>
      </c>
      <c r="E18" s="50"/>
      <c r="F18" s="53" t="s">
        <v>129</v>
      </c>
      <c r="G18" s="362" t="s">
        <v>109</v>
      </c>
      <c r="H18" s="392" t="s">
        <v>146</v>
      </c>
      <c r="I18" s="489">
        <v>45791</v>
      </c>
      <c r="J18" s="466"/>
      <c r="K18" s="534" t="s">
        <v>21</v>
      </c>
      <c r="L18" s="362" t="s">
        <v>17</v>
      </c>
      <c r="M18" s="541" t="s">
        <v>182</v>
      </c>
      <c r="N18" s="360"/>
    </row>
    <row r="19" spans="1:14" ht="15.75">
      <c r="A19" s="364">
        <v>45788</v>
      </c>
      <c r="B19" s="406" t="s">
        <v>42</v>
      </c>
      <c r="C19" s="49" t="s">
        <v>129</v>
      </c>
      <c r="D19" s="49" t="s">
        <v>14</v>
      </c>
      <c r="E19" s="50" t="s">
        <v>33</v>
      </c>
      <c r="F19" s="53" t="s">
        <v>163</v>
      </c>
      <c r="G19" s="362" t="s">
        <v>146</v>
      </c>
      <c r="H19" s="392" t="s">
        <v>17</v>
      </c>
      <c r="I19" s="489">
        <v>45792</v>
      </c>
      <c r="J19" s="466"/>
      <c r="K19" s="534" t="s">
        <v>130</v>
      </c>
      <c r="L19" s="362"/>
      <c r="M19" s="541" t="s">
        <v>182</v>
      </c>
      <c r="N19" s="360"/>
    </row>
    <row r="20" spans="1:14" ht="15.75">
      <c r="A20" s="364">
        <v>45789</v>
      </c>
      <c r="B20" s="406" t="s">
        <v>42</v>
      </c>
      <c r="C20" s="49" t="s">
        <v>129</v>
      </c>
      <c r="D20" s="49" t="s">
        <v>14</v>
      </c>
      <c r="E20" s="50" t="s">
        <v>33</v>
      </c>
      <c r="F20" s="53" t="s">
        <v>163</v>
      </c>
      <c r="G20" s="362" t="s">
        <v>161</v>
      </c>
      <c r="H20" s="392" t="s">
        <v>350</v>
      </c>
      <c r="I20" s="489">
        <v>45793</v>
      </c>
      <c r="J20" s="536"/>
      <c r="K20" s="537" t="s">
        <v>146</v>
      </c>
      <c r="L20" s="545"/>
      <c r="M20" s="541"/>
      <c r="N20" s="360"/>
    </row>
    <row r="21" spans="1:14" ht="15.75">
      <c r="A21" s="364">
        <v>45790</v>
      </c>
      <c r="B21" s="406" t="s">
        <v>42</v>
      </c>
      <c r="C21" s="49" t="s">
        <v>129</v>
      </c>
      <c r="D21" s="49" t="s">
        <v>14</v>
      </c>
      <c r="E21" s="50" t="s">
        <v>33</v>
      </c>
      <c r="F21" s="53" t="s">
        <v>33</v>
      </c>
      <c r="G21" s="362" t="s">
        <v>129</v>
      </c>
      <c r="H21" s="392" t="s">
        <v>109</v>
      </c>
      <c r="I21" s="489">
        <v>45794</v>
      </c>
      <c r="J21" s="466"/>
      <c r="K21" s="534" t="s">
        <v>17</v>
      </c>
      <c r="L21" s="362"/>
      <c r="M21" s="541"/>
      <c r="N21" s="360"/>
    </row>
    <row r="22" spans="1:14" ht="15.75">
      <c r="A22" s="364">
        <v>45791</v>
      </c>
      <c r="B22" s="406" t="s">
        <v>42</v>
      </c>
      <c r="C22" s="49" t="s">
        <v>129</v>
      </c>
      <c r="D22" s="49" t="s">
        <v>14</v>
      </c>
      <c r="E22" s="50" t="s">
        <v>33</v>
      </c>
      <c r="F22" s="53" t="s">
        <v>33</v>
      </c>
      <c r="G22" s="535" t="s">
        <v>14</v>
      </c>
      <c r="H22" s="392" t="s">
        <v>17</v>
      </c>
      <c r="I22" s="489">
        <v>45795</v>
      </c>
      <c r="J22" s="466"/>
      <c r="K22" s="534" t="s">
        <v>130</v>
      </c>
      <c r="L22" s="362"/>
      <c r="M22" s="541" t="s">
        <v>182</v>
      </c>
      <c r="N22" s="360"/>
    </row>
    <row r="23" spans="1:14" ht="15.75">
      <c r="A23" s="364">
        <v>45792</v>
      </c>
      <c r="B23" s="406" t="s">
        <v>42</v>
      </c>
      <c r="C23" s="49" t="s">
        <v>129</v>
      </c>
      <c r="D23" s="49" t="s">
        <v>14</v>
      </c>
      <c r="E23" s="50" t="s">
        <v>33</v>
      </c>
      <c r="F23" s="53" t="s">
        <v>163</v>
      </c>
      <c r="G23" s="361" t="s">
        <v>161</v>
      </c>
      <c r="H23" s="392" t="s">
        <v>185</v>
      </c>
      <c r="I23" s="489">
        <v>45796</v>
      </c>
      <c r="J23" s="466"/>
      <c r="K23" s="534" t="s">
        <v>146</v>
      </c>
      <c r="L23" s="362"/>
      <c r="M23" s="541" t="s">
        <v>182</v>
      </c>
      <c r="N23" s="360"/>
    </row>
    <row r="24" spans="1:14" ht="15.75">
      <c r="A24" s="364">
        <v>45793</v>
      </c>
      <c r="B24" s="542" t="s">
        <v>457</v>
      </c>
      <c r="C24" s="546" t="s">
        <v>350</v>
      </c>
      <c r="D24" s="543" t="s">
        <v>185</v>
      </c>
      <c r="E24" s="544" t="s">
        <v>14</v>
      </c>
      <c r="F24" s="53" t="s">
        <v>163</v>
      </c>
      <c r="G24" s="362" t="s">
        <v>185</v>
      </c>
      <c r="H24" s="392" t="s">
        <v>350</v>
      </c>
      <c r="I24" s="489">
        <v>45797</v>
      </c>
      <c r="J24" s="466"/>
      <c r="K24" s="534" t="s">
        <v>17</v>
      </c>
      <c r="L24" s="362"/>
      <c r="M24" s="541" t="s">
        <v>182</v>
      </c>
      <c r="N24" s="360"/>
    </row>
    <row r="25" spans="1:14" ht="15.75">
      <c r="A25" s="364">
        <v>45794</v>
      </c>
      <c r="B25" s="406" t="s">
        <v>42</v>
      </c>
      <c r="C25" s="479" t="s">
        <v>129</v>
      </c>
      <c r="D25" s="49" t="s">
        <v>109</v>
      </c>
      <c r="E25" s="50"/>
      <c r="F25" s="53" t="s">
        <v>129</v>
      </c>
      <c r="G25" s="362" t="s">
        <v>109</v>
      </c>
      <c r="H25" s="392" t="s">
        <v>163</v>
      </c>
      <c r="I25" s="489">
        <v>45798</v>
      </c>
      <c r="J25" s="466"/>
      <c r="K25" s="534" t="s">
        <v>21</v>
      </c>
      <c r="L25" s="362" t="s">
        <v>130</v>
      </c>
      <c r="M25" s="540" t="s">
        <v>110</v>
      </c>
      <c r="N25" s="360"/>
    </row>
    <row r="26" spans="1:14" ht="15.75">
      <c r="A26" s="364">
        <v>45795</v>
      </c>
      <c r="B26" s="406" t="s">
        <v>42</v>
      </c>
      <c r="C26" s="479" t="s">
        <v>129</v>
      </c>
      <c r="D26" s="49" t="s">
        <v>14</v>
      </c>
      <c r="E26" s="50" t="s">
        <v>33</v>
      </c>
      <c r="F26" s="53" t="s">
        <v>33</v>
      </c>
      <c r="G26" s="362" t="s">
        <v>14</v>
      </c>
      <c r="H26" s="392" t="s">
        <v>146</v>
      </c>
      <c r="I26" s="489">
        <v>45799</v>
      </c>
      <c r="J26" s="466"/>
      <c r="K26" s="534" t="s">
        <v>146</v>
      </c>
      <c r="L26" s="362"/>
      <c r="M26" s="540" t="s">
        <v>110</v>
      </c>
      <c r="N26" s="360"/>
    </row>
    <row r="27" spans="1:14" ht="15.75">
      <c r="A27" s="364">
        <v>45796</v>
      </c>
      <c r="B27" s="406" t="s">
        <v>42</v>
      </c>
      <c r="C27" s="479" t="s">
        <v>129</v>
      </c>
      <c r="D27" s="49" t="s">
        <v>14</v>
      </c>
      <c r="E27" s="50" t="s">
        <v>33</v>
      </c>
      <c r="F27" s="53" t="s">
        <v>163</v>
      </c>
      <c r="G27" s="362" t="s">
        <v>161</v>
      </c>
      <c r="H27" s="392" t="s">
        <v>350</v>
      </c>
      <c r="I27" s="489">
        <v>45800</v>
      </c>
      <c r="J27" s="536"/>
      <c r="K27" s="537" t="s">
        <v>17</v>
      </c>
      <c r="L27" s="545"/>
      <c r="M27" s="539"/>
      <c r="N27" s="360"/>
    </row>
    <row r="28" spans="1:14" ht="15.75">
      <c r="A28" s="364">
        <v>45797</v>
      </c>
      <c r="B28" s="406" t="s">
        <v>42</v>
      </c>
      <c r="C28" s="479" t="s">
        <v>129</v>
      </c>
      <c r="D28" s="49" t="s">
        <v>14</v>
      </c>
      <c r="E28" s="50" t="s">
        <v>33</v>
      </c>
      <c r="F28" s="53" t="s">
        <v>163</v>
      </c>
      <c r="G28" s="362" t="s">
        <v>129</v>
      </c>
      <c r="H28" s="392" t="s">
        <v>109</v>
      </c>
      <c r="I28" s="489">
        <v>45801</v>
      </c>
      <c r="J28" s="466"/>
      <c r="K28" s="534" t="s">
        <v>130</v>
      </c>
      <c r="L28" s="362"/>
      <c r="M28" s="540"/>
      <c r="N28" s="360"/>
    </row>
    <row r="29" spans="1:14" ht="15.75">
      <c r="A29" s="364">
        <v>45798</v>
      </c>
      <c r="B29" s="406" t="s">
        <v>42</v>
      </c>
      <c r="C29" s="479" t="s">
        <v>129</v>
      </c>
      <c r="D29" s="49" t="s">
        <v>14</v>
      </c>
      <c r="E29" s="50" t="s">
        <v>33</v>
      </c>
      <c r="F29" s="53" t="s">
        <v>33</v>
      </c>
      <c r="G29" s="535" t="s">
        <v>17</v>
      </c>
      <c r="H29" s="392" t="s">
        <v>130</v>
      </c>
      <c r="I29" s="489">
        <v>45802</v>
      </c>
      <c r="J29" s="466"/>
      <c r="K29" s="534" t="s">
        <v>146</v>
      </c>
      <c r="L29" s="362"/>
      <c r="M29" s="540" t="s">
        <v>110</v>
      </c>
      <c r="N29" s="360"/>
    </row>
    <row r="30" spans="1:14" ht="15.75">
      <c r="A30" s="364">
        <v>45799</v>
      </c>
      <c r="B30" s="406" t="s">
        <v>42</v>
      </c>
      <c r="C30" s="479" t="s">
        <v>129</v>
      </c>
      <c r="D30" s="49" t="s">
        <v>14</v>
      </c>
      <c r="E30" s="50" t="s">
        <v>33</v>
      </c>
      <c r="F30" s="53" t="s">
        <v>33</v>
      </c>
      <c r="G30" s="361" t="s">
        <v>161</v>
      </c>
      <c r="H30" s="392" t="s">
        <v>185</v>
      </c>
      <c r="I30" s="489">
        <v>45803</v>
      </c>
      <c r="J30" s="466"/>
      <c r="K30" s="534" t="s">
        <v>17</v>
      </c>
      <c r="L30" s="362"/>
      <c r="M30" s="540" t="s">
        <v>110</v>
      </c>
      <c r="N30" s="360"/>
    </row>
    <row r="31" spans="1:14" ht="15.75">
      <c r="A31" s="364">
        <v>45800</v>
      </c>
      <c r="B31" s="542" t="s">
        <v>457</v>
      </c>
      <c r="C31" s="543" t="s">
        <v>350</v>
      </c>
      <c r="D31" s="543" t="s">
        <v>185</v>
      </c>
      <c r="E31" s="544" t="s">
        <v>14</v>
      </c>
      <c r="F31" s="53" t="s">
        <v>163</v>
      </c>
      <c r="G31" s="362" t="s">
        <v>185</v>
      </c>
      <c r="H31" s="392" t="s">
        <v>350</v>
      </c>
      <c r="I31" s="489">
        <v>45804</v>
      </c>
      <c r="J31" s="466"/>
      <c r="K31" s="534" t="s">
        <v>130</v>
      </c>
      <c r="L31" s="362"/>
      <c r="M31" s="540" t="s">
        <v>110</v>
      </c>
      <c r="N31" s="360"/>
    </row>
    <row r="32" spans="1:14" ht="15.75">
      <c r="A32" s="364">
        <v>45801</v>
      </c>
      <c r="B32" s="406" t="s">
        <v>42</v>
      </c>
      <c r="C32" s="49" t="s">
        <v>129</v>
      </c>
      <c r="D32" s="49" t="s">
        <v>109</v>
      </c>
      <c r="E32" s="50"/>
      <c r="F32" s="53" t="s">
        <v>129</v>
      </c>
      <c r="G32" s="362" t="s">
        <v>109</v>
      </c>
      <c r="H32" s="392" t="s">
        <v>163</v>
      </c>
      <c r="I32" s="489">
        <v>45805</v>
      </c>
      <c r="J32" s="466"/>
      <c r="K32" s="534" t="s">
        <v>21</v>
      </c>
      <c r="L32" s="362" t="s">
        <v>146</v>
      </c>
      <c r="M32" s="540" t="s">
        <v>110</v>
      </c>
      <c r="N32" s="360"/>
    </row>
    <row r="33" spans="1:16" ht="15.75">
      <c r="A33" s="364">
        <v>45802</v>
      </c>
      <c r="B33" s="406" t="s">
        <v>42</v>
      </c>
      <c r="C33" s="49" t="s">
        <v>129</v>
      </c>
      <c r="D33" s="49" t="s">
        <v>14</v>
      </c>
      <c r="E33" s="50" t="s">
        <v>33</v>
      </c>
      <c r="F33" s="53" t="s">
        <v>33</v>
      </c>
      <c r="G33" s="362" t="s">
        <v>14</v>
      </c>
      <c r="H33" s="392" t="s">
        <v>110</v>
      </c>
      <c r="I33" s="489">
        <v>45806</v>
      </c>
      <c r="J33" s="466"/>
      <c r="K33" s="534" t="s">
        <v>17</v>
      </c>
      <c r="L33" s="362"/>
      <c r="M33" s="540" t="s">
        <v>110</v>
      </c>
      <c r="N33" s="360"/>
    </row>
    <row r="34" spans="1:16" ht="15.75">
      <c r="A34" s="364">
        <v>45803</v>
      </c>
      <c r="B34" s="406" t="s">
        <v>42</v>
      </c>
      <c r="C34" s="49" t="s">
        <v>129</v>
      </c>
      <c r="D34" s="49" t="s">
        <v>14</v>
      </c>
      <c r="E34" s="50" t="s">
        <v>33</v>
      </c>
      <c r="F34" s="53" t="s">
        <v>33</v>
      </c>
      <c r="G34" s="362" t="s">
        <v>161</v>
      </c>
      <c r="H34" s="392" t="s">
        <v>350</v>
      </c>
      <c r="I34" s="489">
        <v>45807</v>
      </c>
      <c r="J34" s="536"/>
      <c r="K34" s="537" t="s">
        <v>130</v>
      </c>
      <c r="L34" s="545"/>
      <c r="M34" s="539"/>
      <c r="N34" s="360"/>
    </row>
    <row r="35" spans="1:16" ht="15.75">
      <c r="A35" s="364">
        <v>45804</v>
      </c>
      <c r="B35" s="406" t="s">
        <v>42</v>
      </c>
      <c r="C35" s="49" t="s">
        <v>129</v>
      </c>
      <c r="D35" s="49" t="s">
        <v>14</v>
      </c>
      <c r="E35" s="50" t="s">
        <v>33</v>
      </c>
      <c r="F35" s="53" t="s">
        <v>163</v>
      </c>
      <c r="G35" s="362" t="s">
        <v>129</v>
      </c>
      <c r="H35" s="392" t="s">
        <v>109</v>
      </c>
      <c r="I35" s="489">
        <v>45808</v>
      </c>
      <c r="J35" s="466"/>
      <c r="K35" s="547" t="s">
        <v>146</v>
      </c>
      <c r="L35" s="493"/>
      <c r="M35" s="548"/>
      <c r="N35" s="549"/>
    </row>
    <row r="36" spans="1:16" ht="15.75">
      <c r="A36" s="364">
        <v>45805</v>
      </c>
      <c r="B36" s="406" t="s">
        <v>42</v>
      </c>
      <c r="C36" s="49" t="s">
        <v>129</v>
      </c>
      <c r="D36" s="49" t="s">
        <v>14</v>
      </c>
      <c r="E36" s="50" t="s">
        <v>33</v>
      </c>
      <c r="F36" s="53" t="s">
        <v>163</v>
      </c>
      <c r="G36" s="535" t="s">
        <v>14</v>
      </c>
      <c r="H36" s="392" t="s">
        <v>146</v>
      </c>
      <c r="I36" s="1362"/>
      <c r="J36" s="1363"/>
      <c r="K36" s="407" t="s">
        <v>542</v>
      </c>
      <c r="L36" s="407" t="s">
        <v>548</v>
      </c>
      <c r="M36" s="408" t="s">
        <v>549</v>
      </c>
      <c r="N36" s="550" t="s">
        <v>550</v>
      </c>
      <c r="O36" s="1334" t="s">
        <v>479</v>
      </c>
      <c r="P36" s="1335"/>
    </row>
    <row r="37" spans="1:16" ht="15.75">
      <c r="A37" s="364">
        <v>45806</v>
      </c>
      <c r="B37" s="406" t="s">
        <v>42</v>
      </c>
      <c r="C37" s="49" t="s">
        <v>129</v>
      </c>
      <c r="D37" s="49" t="s">
        <v>14</v>
      </c>
      <c r="E37" s="50" t="s">
        <v>33</v>
      </c>
      <c r="F37" s="53" t="s">
        <v>33</v>
      </c>
      <c r="G37" s="361" t="s">
        <v>161</v>
      </c>
      <c r="H37" s="392" t="s">
        <v>185</v>
      </c>
      <c r="I37" s="496" t="s">
        <v>551</v>
      </c>
      <c r="J37" s="496"/>
      <c r="K37" s="303"/>
      <c r="L37" s="304"/>
      <c r="M37" s="305"/>
      <c r="N37" s="306"/>
      <c r="O37" s="1150"/>
      <c r="P37" s="1151"/>
    </row>
    <row r="38" spans="1:16" ht="15.75">
      <c r="A38" s="364">
        <v>45807</v>
      </c>
      <c r="B38" s="542" t="s">
        <v>457</v>
      </c>
      <c r="C38" s="543"/>
      <c r="D38" s="543" t="s">
        <v>185</v>
      </c>
      <c r="E38" s="544" t="s">
        <v>14</v>
      </c>
      <c r="F38" s="53" t="s">
        <v>33</v>
      </c>
      <c r="G38" s="362" t="s">
        <v>185</v>
      </c>
      <c r="H38" s="392" t="s">
        <v>350</v>
      </c>
      <c r="I38" s="1329" t="s">
        <v>213</v>
      </c>
      <c r="J38" s="1329"/>
      <c r="K38" s="315"/>
      <c r="L38" s="316"/>
      <c r="M38" s="317"/>
      <c r="N38" s="318"/>
      <c r="O38" s="1188"/>
      <c r="P38" s="1189"/>
    </row>
    <row r="39" spans="1:16" ht="15.75">
      <c r="A39" s="364">
        <v>45808</v>
      </c>
      <c r="B39" s="551" t="s">
        <v>42</v>
      </c>
      <c r="C39" s="72" t="s">
        <v>129</v>
      </c>
      <c r="D39" s="72" t="s">
        <v>109</v>
      </c>
      <c r="E39" s="73"/>
      <c r="F39" s="522" t="s">
        <v>129</v>
      </c>
      <c r="G39" s="493" t="s">
        <v>109</v>
      </c>
      <c r="H39" s="404" t="s">
        <v>163</v>
      </c>
      <c r="I39" s="1329" t="s">
        <v>552</v>
      </c>
      <c r="J39" s="1329"/>
      <c r="K39" s="315"/>
      <c r="L39" s="316"/>
      <c r="M39" s="317"/>
      <c r="N39" s="318"/>
      <c r="O39" s="1188"/>
      <c r="P39" s="1189"/>
    </row>
    <row r="40" spans="1:16">
      <c r="I40" s="1328" t="s">
        <v>212</v>
      </c>
      <c r="J40" s="1329"/>
      <c r="K40" s="315"/>
      <c r="L40" s="316"/>
      <c r="M40" s="317"/>
      <c r="N40" s="318"/>
      <c r="O40" s="1188"/>
      <c r="P40" s="1189"/>
    </row>
    <row r="41" spans="1:16">
      <c r="I41" s="1330" t="s">
        <v>565</v>
      </c>
      <c r="J41" s="1331"/>
      <c r="K41" s="322"/>
      <c r="L41" s="316"/>
      <c r="M41" s="317"/>
      <c r="N41" s="318"/>
      <c r="O41" s="1188"/>
      <c r="P41" s="1189"/>
    </row>
    <row r="42" spans="1:16">
      <c r="I42" s="1326" t="s">
        <v>566</v>
      </c>
      <c r="J42" s="1327"/>
      <c r="K42" s="315"/>
      <c r="L42" s="316"/>
      <c r="M42" s="317"/>
      <c r="N42" s="318"/>
      <c r="O42" s="1188"/>
      <c r="P42" s="1189"/>
    </row>
    <row r="43" spans="1:16">
      <c r="I43" s="1322" t="s">
        <v>567</v>
      </c>
      <c r="J43" s="1323"/>
      <c r="K43" s="315"/>
      <c r="L43" s="316"/>
      <c r="M43" s="317"/>
      <c r="N43" s="318"/>
      <c r="O43" s="1188"/>
      <c r="P43" s="1189"/>
    </row>
    <row r="44" spans="1:16">
      <c r="I44" s="1322" t="s">
        <v>568</v>
      </c>
      <c r="J44" s="1323"/>
      <c r="K44" s="315"/>
      <c r="L44" s="316"/>
      <c r="M44" s="317"/>
      <c r="N44" s="318"/>
      <c r="O44" s="1188"/>
      <c r="P44" s="1189"/>
    </row>
    <row r="45" spans="1:16">
      <c r="I45" s="1322" t="s">
        <v>569</v>
      </c>
      <c r="J45" s="1323"/>
      <c r="K45" s="315"/>
      <c r="L45" s="316"/>
      <c r="M45" s="317"/>
      <c r="N45" s="318"/>
      <c r="O45" s="1188"/>
      <c r="P45" s="1189"/>
    </row>
    <row r="46" spans="1:16">
      <c r="I46" s="1322" t="s">
        <v>558</v>
      </c>
      <c r="J46" s="1323"/>
      <c r="K46" s="322"/>
      <c r="L46" s="330"/>
      <c r="M46" s="317"/>
      <c r="N46" s="318"/>
      <c r="O46" s="1188"/>
      <c r="P46" s="1189"/>
    </row>
    <row r="47" spans="1:16">
      <c r="I47" s="1322" t="s">
        <v>222</v>
      </c>
      <c r="J47" s="1323"/>
      <c r="K47" s="315"/>
      <c r="L47" s="316"/>
      <c r="M47" s="317"/>
      <c r="N47" s="318"/>
      <c r="O47" s="1188"/>
      <c r="P47" s="1189"/>
    </row>
    <row r="48" spans="1:16">
      <c r="I48" s="1322" t="s">
        <v>559</v>
      </c>
      <c r="J48" s="1323"/>
      <c r="K48" s="315"/>
      <c r="L48" s="316"/>
      <c r="M48" s="317"/>
      <c r="N48" s="318"/>
      <c r="O48" s="1188"/>
      <c r="P48" s="1189"/>
    </row>
    <row r="49" spans="9:16">
      <c r="I49" s="197" t="s">
        <v>560</v>
      </c>
      <c r="J49" s="326"/>
      <c r="K49" s="315"/>
      <c r="L49" s="316"/>
      <c r="M49" s="317"/>
      <c r="N49" s="318"/>
      <c r="O49" s="1188"/>
      <c r="P49" s="1189"/>
    </row>
    <row r="50" spans="9:16">
      <c r="I50" s="197" t="s">
        <v>561</v>
      </c>
      <c r="J50" s="326"/>
      <c r="K50" s="331"/>
      <c r="L50" s="332"/>
      <c r="M50" s="333"/>
      <c r="N50" s="334"/>
      <c r="O50" s="1324"/>
      <c r="P50" s="1325"/>
    </row>
    <row r="51" spans="9:16">
      <c r="I51" s="1322"/>
      <c r="J51" s="1323"/>
      <c r="K51" s="322"/>
      <c r="L51" s="317"/>
      <c r="M51" s="317"/>
      <c r="N51" s="318"/>
      <c r="O51" s="1188"/>
      <c r="P51" s="1189"/>
    </row>
    <row r="52" spans="9:16">
      <c r="I52" s="1308"/>
      <c r="J52" s="1309"/>
      <c r="K52" s="337"/>
      <c r="L52" s="338"/>
      <c r="M52" s="338"/>
      <c r="N52" s="339"/>
      <c r="O52" s="1200"/>
      <c r="P52" s="1197"/>
    </row>
  </sheetData>
  <mergeCells count="42">
    <mergeCell ref="I1:M1"/>
    <mergeCell ref="I2:M2"/>
    <mergeCell ref="J3:K3"/>
    <mergeCell ref="C5:D5"/>
    <mergeCell ref="G8:H8"/>
    <mergeCell ref="I36:J36"/>
    <mergeCell ref="O36:P36"/>
    <mergeCell ref="O37:P37"/>
    <mergeCell ref="I38:J38"/>
    <mergeCell ref="O38:P38"/>
    <mergeCell ref="I39:J39"/>
    <mergeCell ref="O39:P39"/>
    <mergeCell ref="I40:J40"/>
    <mergeCell ref="O40:P40"/>
    <mergeCell ref="I41:J41"/>
    <mergeCell ref="O41:P41"/>
    <mergeCell ref="I46:J46"/>
    <mergeCell ref="O46:P46"/>
    <mergeCell ref="I47:J47"/>
    <mergeCell ref="O47:P47"/>
    <mergeCell ref="I42:J42"/>
    <mergeCell ref="O42:P42"/>
    <mergeCell ref="I43:J43"/>
    <mergeCell ref="O43:P43"/>
    <mergeCell ref="I44:J44"/>
    <mergeCell ref="O44:P44"/>
    <mergeCell ref="I52:J52"/>
    <mergeCell ref="O52:P52"/>
    <mergeCell ref="A1:A4"/>
    <mergeCell ref="A6:A8"/>
    <mergeCell ref="I3:I4"/>
    <mergeCell ref="B1:G4"/>
    <mergeCell ref="B6:E7"/>
    <mergeCell ref="F6:H7"/>
    <mergeCell ref="I48:J48"/>
    <mergeCell ref="O48:P48"/>
    <mergeCell ref="O49:P49"/>
    <mergeCell ref="O50:P50"/>
    <mergeCell ref="I51:J51"/>
    <mergeCell ref="O51:P51"/>
    <mergeCell ref="I45:J45"/>
    <mergeCell ref="O45:P45"/>
  </mergeCells>
  <pageMargins left="0" right="0" top="0" bottom="0" header="0" footer="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2"/>
  <sheetViews>
    <sheetView topLeftCell="A4" workbookViewId="0">
      <selection activeCell="S32" sqref="S32"/>
    </sheetView>
  </sheetViews>
  <sheetFormatPr baseColWidth="10" defaultColWidth="11" defaultRowHeight="15"/>
  <cols>
    <col min="1" max="1" width="23.7109375" customWidth="1"/>
    <col min="3" max="5" width="10.28515625" customWidth="1"/>
    <col min="6" max="7" width="10" customWidth="1"/>
    <col min="8" max="8" width="10.7109375" customWidth="1"/>
    <col min="9" max="9" width="22.28515625" customWidth="1"/>
    <col min="15" max="15" width="12.5703125" customWidth="1"/>
  </cols>
  <sheetData>
    <row r="1" spans="1:14" ht="18.75">
      <c r="A1" s="1083"/>
      <c r="B1" s="1311" t="s">
        <v>570</v>
      </c>
      <c r="C1" s="1311"/>
      <c r="D1" s="1311"/>
      <c r="E1" s="1311"/>
      <c r="F1" s="1311"/>
      <c r="G1" s="1311"/>
      <c r="I1" s="1348" t="s">
        <v>539</v>
      </c>
      <c r="J1" s="1348"/>
      <c r="K1" s="1348"/>
      <c r="L1" s="1348"/>
      <c r="M1" s="1348"/>
    </row>
    <row r="2" spans="1:14">
      <c r="A2" s="1083"/>
      <c r="B2" s="1311"/>
      <c r="C2" s="1311"/>
      <c r="D2" s="1311"/>
      <c r="E2" s="1311"/>
      <c r="F2" s="1311"/>
      <c r="G2" s="1311"/>
      <c r="I2" s="1349">
        <v>45809</v>
      </c>
      <c r="J2" s="1349"/>
      <c r="K2" s="1350"/>
      <c r="L2" s="1350"/>
      <c r="M2" s="1350"/>
      <c r="N2" s="353"/>
    </row>
    <row r="3" spans="1:14" ht="15.75">
      <c r="A3" s="1083"/>
      <c r="B3" s="1311"/>
      <c r="C3" s="1311"/>
      <c r="D3" s="1311"/>
      <c r="E3" s="1311"/>
      <c r="F3" s="1311"/>
      <c r="G3" s="1311"/>
      <c r="I3" s="1355"/>
      <c r="J3" s="1358" t="s">
        <v>5</v>
      </c>
      <c r="K3" s="1359"/>
      <c r="L3" s="286" t="s">
        <v>6</v>
      </c>
      <c r="M3" s="286" t="s">
        <v>434</v>
      </c>
      <c r="N3" s="354"/>
    </row>
    <row r="4" spans="1:14" ht="15.75">
      <c r="A4" s="1083"/>
      <c r="B4" s="1311"/>
      <c r="C4" s="1311"/>
      <c r="D4" s="1311"/>
      <c r="E4" s="1311"/>
      <c r="F4" s="1311"/>
      <c r="G4" s="1311"/>
      <c r="I4" s="1357"/>
      <c r="J4" s="427" t="s">
        <v>540</v>
      </c>
      <c r="K4" s="428" t="s">
        <v>157</v>
      </c>
      <c r="L4" s="429" t="s">
        <v>168</v>
      </c>
      <c r="M4" s="429" t="s">
        <v>542</v>
      </c>
      <c r="N4" s="430"/>
    </row>
    <row r="5" spans="1:14" ht="15.75">
      <c r="A5" s="431"/>
      <c r="B5" s="431"/>
      <c r="C5" s="1126">
        <v>2025</v>
      </c>
      <c r="D5" s="1126"/>
      <c r="E5" s="2"/>
      <c r="F5" s="2"/>
      <c r="G5" s="432"/>
      <c r="I5" s="355">
        <v>45809</v>
      </c>
      <c r="J5" s="466" t="s">
        <v>73</v>
      </c>
      <c r="K5" s="467" t="s">
        <v>34</v>
      </c>
      <c r="L5" s="361"/>
      <c r="M5" s="468" t="s">
        <v>449</v>
      </c>
      <c r="N5" s="360"/>
    </row>
    <row r="6" spans="1:14" ht="15.75">
      <c r="A6" s="1134" t="s">
        <v>2</v>
      </c>
      <c r="B6" s="1312" t="s">
        <v>543</v>
      </c>
      <c r="C6" s="1313"/>
      <c r="D6" s="1313"/>
      <c r="E6" s="1314"/>
      <c r="F6" s="1317" t="s">
        <v>544</v>
      </c>
      <c r="G6" s="1318"/>
      <c r="H6" s="1272"/>
      <c r="I6" s="355">
        <v>45810</v>
      </c>
      <c r="J6" s="322" t="s">
        <v>73</v>
      </c>
      <c r="K6" s="467" t="s">
        <v>456</v>
      </c>
      <c r="L6" s="362"/>
      <c r="M6" s="468" t="s">
        <v>459</v>
      </c>
      <c r="N6" s="360"/>
    </row>
    <row r="7" spans="1:14" ht="15.75">
      <c r="A7" s="1135"/>
      <c r="B7" s="1182"/>
      <c r="C7" s="1315"/>
      <c r="D7" s="1315"/>
      <c r="E7" s="1316"/>
      <c r="F7" s="1319"/>
      <c r="G7" s="1320"/>
      <c r="H7" s="1321"/>
      <c r="I7" s="355">
        <v>45811</v>
      </c>
      <c r="J7" s="322" t="s">
        <v>73</v>
      </c>
      <c r="K7" s="467" t="s">
        <v>449</v>
      </c>
      <c r="L7" s="362"/>
      <c r="M7" s="468" t="s">
        <v>459</v>
      </c>
      <c r="N7" s="360"/>
    </row>
    <row r="8" spans="1:14" ht="15.75">
      <c r="A8" s="1275"/>
      <c r="B8" s="11" t="s">
        <v>8</v>
      </c>
      <c r="C8" s="12" t="s">
        <v>9</v>
      </c>
      <c r="D8" s="12" t="s">
        <v>10</v>
      </c>
      <c r="E8" s="13" t="s">
        <v>7</v>
      </c>
      <c r="F8" s="437" t="s">
        <v>545</v>
      </c>
      <c r="G8" s="1360" t="s">
        <v>546</v>
      </c>
      <c r="H8" s="1361"/>
      <c r="I8" s="355">
        <v>45812</v>
      </c>
      <c r="J8" s="322" t="s">
        <v>34</v>
      </c>
      <c r="K8" s="467" t="s">
        <v>73</v>
      </c>
      <c r="L8" s="362" t="s">
        <v>34</v>
      </c>
      <c r="M8" s="468" t="s">
        <v>459</v>
      </c>
      <c r="N8" s="360"/>
    </row>
    <row r="9" spans="1:14" ht="15.75">
      <c r="A9" s="498">
        <v>45809</v>
      </c>
      <c r="B9" s="499" t="s">
        <v>466</v>
      </c>
      <c r="C9" s="104" t="s">
        <v>475</v>
      </c>
      <c r="D9" s="104" t="s">
        <v>571</v>
      </c>
      <c r="E9" s="105" t="s">
        <v>72</v>
      </c>
      <c r="F9" s="500" t="s">
        <v>516</v>
      </c>
      <c r="G9" s="474" t="s">
        <v>476</v>
      </c>
      <c r="H9" s="501"/>
      <c r="I9" s="355">
        <v>45813</v>
      </c>
      <c r="J9" s="502" t="s">
        <v>73</v>
      </c>
      <c r="K9" s="357" t="s">
        <v>456</v>
      </c>
      <c r="L9" s="476"/>
      <c r="M9" s="477" t="s">
        <v>459</v>
      </c>
      <c r="N9" s="360"/>
    </row>
    <row r="10" spans="1:14" ht="15.75">
      <c r="A10" s="498">
        <v>45810</v>
      </c>
      <c r="B10" s="499" t="s">
        <v>466</v>
      </c>
      <c r="C10" s="104" t="s">
        <v>475</v>
      </c>
      <c r="D10" s="104" t="s">
        <v>571</v>
      </c>
      <c r="E10" s="105" t="s">
        <v>72</v>
      </c>
      <c r="F10" s="110" t="s">
        <v>457</v>
      </c>
      <c r="G10" s="478" t="s">
        <v>458</v>
      </c>
      <c r="H10" s="373" t="s">
        <v>449</v>
      </c>
      <c r="I10" s="355">
        <v>45814</v>
      </c>
      <c r="J10" s="1367" t="s">
        <v>34</v>
      </c>
      <c r="K10" s="1368"/>
      <c r="L10" s="1368"/>
      <c r="M10" s="1369"/>
      <c r="N10" s="360"/>
    </row>
    <row r="11" spans="1:14" ht="15.75">
      <c r="A11" s="498">
        <v>45811</v>
      </c>
      <c r="B11" s="499" t="s">
        <v>572</v>
      </c>
      <c r="C11" s="104" t="s">
        <v>475</v>
      </c>
      <c r="D11" s="104" t="s">
        <v>571</v>
      </c>
      <c r="E11" s="105" t="s">
        <v>72</v>
      </c>
      <c r="F11" s="53" t="s">
        <v>457</v>
      </c>
      <c r="G11" s="478" t="s">
        <v>475</v>
      </c>
      <c r="H11" s="392" t="s">
        <v>455</v>
      </c>
      <c r="I11" s="355">
        <v>45815</v>
      </c>
      <c r="J11" s="1370" t="s">
        <v>449</v>
      </c>
      <c r="K11" s="1371"/>
      <c r="L11" s="1371"/>
      <c r="M11" s="1372"/>
      <c r="N11" s="360"/>
    </row>
    <row r="12" spans="1:14" ht="15.75">
      <c r="A12" s="498">
        <v>45812</v>
      </c>
      <c r="B12" s="499" t="s">
        <v>466</v>
      </c>
      <c r="C12" s="104" t="s">
        <v>475</v>
      </c>
      <c r="D12" s="104" t="s">
        <v>571</v>
      </c>
      <c r="E12" s="105" t="s">
        <v>72</v>
      </c>
      <c r="F12" s="53" t="s">
        <v>516</v>
      </c>
      <c r="G12" s="478" t="s">
        <v>34</v>
      </c>
      <c r="H12" s="503" t="s">
        <v>403</v>
      </c>
      <c r="I12" s="355">
        <v>45816</v>
      </c>
      <c r="J12" s="1373" t="s">
        <v>456</v>
      </c>
      <c r="K12" s="1374"/>
      <c r="L12" s="1374"/>
      <c r="M12" s="1375"/>
      <c r="N12" s="360"/>
    </row>
    <row r="13" spans="1:14" ht="15.75">
      <c r="A13" s="498">
        <v>45813</v>
      </c>
      <c r="B13" s="504" t="s">
        <v>466</v>
      </c>
      <c r="C13" s="391" t="s">
        <v>572</v>
      </c>
      <c r="D13" s="391" t="s">
        <v>571</v>
      </c>
      <c r="E13" s="505" t="s">
        <v>72</v>
      </c>
      <c r="F13" s="482" t="s">
        <v>516</v>
      </c>
      <c r="G13" s="483" t="s">
        <v>457</v>
      </c>
      <c r="H13" s="506"/>
      <c r="I13" s="355">
        <v>45817</v>
      </c>
      <c r="J13" s="507" t="s">
        <v>73</v>
      </c>
      <c r="K13" s="508" t="s">
        <v>449</v>
      </c>
      <c r="L13" s="509"/>
      <c r="M13" s="510" t="s">
        <v>459</v>
      </c>
      <c r="N13" s="360"/>
    </row>
    <row r="14" spans="1:14" ht="15.75">
      <c r="A14" s="498">
        <v>45814</v>
      </c>
      <c r="B14" s="1376" t="s">
        <v>457</v>
      </c>
      <c r="C14" s="1377"/>
      <c r="D14" s="1377"/>
      <c r="E14" s="1377"/>
      <c r="F14" s="1377"/>
      <c r="G14" s="1377"/>
      <c r="H14" s="1378"/>
      <c r="I14" s="489">
        <v>45818</v>
      </c>
      <c r="J14" s="322" t="s">
        <v>73</v>
      </c>
      <c r="K14" s="467" t="s">
        <v>34</v>
      </c>
      <c r="L14" s="511"/>
      <c r="M14" s="468" t="s">
        <v>459</v>
      </c>
      <c r="N14" s="360"/>
    </row>
    <row r="15" spans="1:14" ht="15.75">
      <c r="A15" s="498">
        <v>45815</v>
      </c>
      <c r="B15" s="1379" t="s">
        <v>73</v>
      </c>
      <c r="C15" s="1380"/>
      <c r="D15" s="1380"/>
      <c r="E15" s="1380"/>
      <c r="F15" s="1380"/>
      <c r="G15" s="1380"/>
      <c r="H15" s="1381"/>
      <c r="I15" s="489">
        <v>45819</v>
      </c>
      <c r="J15" s="322" t="s">
        <v>456</v>
      </c>
      <c r="K15" s="467" t="s">
        <v>73</v>
      </c>
      <c r="L15" s="511" t="s">
        <v>456</v>
      </c>
      <c r="M15" s="468" t="s">
        <v>459</v>
      </c>
      <c r="N15" s="360"/>
    </row>
    <row r="16" spans="1:14" ht="15.75">
      <c r="A16" s="498">
        <v>45816</v>
      </c>
      <c r="B16" s="1364" t="s">
        <v>459</v>
      </c>
      <c r="C16" s="1365"/>
      <c r="D16" s="1365"/>
      <c r="E16" s="1365"/>
      <c r="F16" s="1365"/>
      <c r="G16" s="1365"/>
      <c r="H16" s="1366"/>
      <c r="I16" s="489">
        <v>45820</v>
      </c>
      <c r="J16" s="322" t="s">
        <v>73</v>
      </c>
      <c r="K16" s="467" t="s">
        <v>449</v>
      </c>
      <c r="L16" s="511"/>
      <c r="M16" s="468" t="s">
        <v>459</v>
      </c>
      <c r="N16" s="360"/>
    </row>
    <row r="17" spans="1:14" ht="15.75">
      <c r="A17" s="498">
        <v>45817</v>
      </c>
      <c r="B17" s="512" t="s">
        <v>466</v>
      </c>
      <c r="C17" s="366" t="s">
        <v>475</v>
      </c>
      <c r="D17" s="366" t="s">
        <v>571</v>
      </c>
      <c r="E17" s="513" t="s">
        <v>72</v>
      </c>
      <c r="F17" s="514" t="s">
        <v>516</v>
      </c>
      <c r="G17" s="515" t="s">
        <v>458</v>
      </c>
      <c r="H17" s="516" t="s">
        <v>34</v>
      </c>
      <c r="I17" s="355">
        <v>45821</v>
      </c>
      <c r="J17" s="469"/>
      <c r="K17" s="470" t="s">
        <v>34</v>
      </c>
      <c r="L17" s="517"/>
      <c r="M17" s="472" t="s">
        <v>459</v>
      </c>
      <c r="N17" s="360"/>
    </row>
    <row r="18" spans="1:14" ht="15.75">
      <c r="A18" s="498">
        <v>45818</v>
      </c>
      <c r="B18" s="499" t="s">
        <v>572</v>
      </c>
      <c r="C18" s="104" t="s">
        <v>475</v>
      </c>
      <c r="D18" s="104" t="s">
        <v>571</v>
      </c>
      <c r="E18" s="105" t="s">
        <v>72</v>
      </c>
      <c r="F18" s="53" t="s">
        <v>457</v>
      </c>
      <c r="G18" s="478" t="s">
        <v>572</v>
      </c>
      <c r="H18" s="392" t="s">
        <v>475</v>
      </c>
      <c r="I18" s="355">
        <v>45822</v>
      </c>
      <c r="J18" s="469"/>
      <c r="K18" s="470" t="s">
        <v>456</v>
      </c>
      <c r="L18" s="471"/>
      <c r="M18" s="472"/>
      <c r="N18" s="360"/>
    </row>
    <row r="19" spans="1:14" ht="15.75">
      <c r="A19" s="498">
        <v>45819</v>
      </c>
      <c r="B19" s="499" t="s">
        <v>466</v>
      </c>
      <c r="C19" s="104" t="s">
        <v>475</v>
      </c>
      <c r="D19" s="104" t="s">
        <v>571</v>
      </c>
      <c r="E19" s="105" t="s">
        <v>72</v>
      </c>
      <c r="F19" s="53" t="s">
        <v>457</v>
      </c>
      <c r="G19" s="478" t="s">
        <v>456</v>
      </c>
      <c r="H19" s="392" t="s">
        <v>449</v>
      </c>
      <c r="I19" s="355">
        <v>45823</v>
      </c>
      <c r="J19" s="322" t="s">
        <v>73</v>
      </c>
      <c r="K19" s="467" t="s">
        <v>449</v>
      </c>
      <c r="L19" s="362"/>
      <c r="M19" s="468" t="s">
        <v>456</v>
      </c>
      <c r="N19" s="360"/>
    </row>
    <row r="20" spans="1:14" ht="15.75">
      <c r="A20" s="498">
        <v>45820</v>
      </c>
      <c r="B20" s="499" t="s">
        <v>466</v>
      </c>
      <c r="C20" s="104" t="s">
        <v>572</v>
      </c>
      <c r="D20" s="104" t="s">
        <v>571</v>
      </c>
      <c r="E20" s="105" t="s">
        <v>72</v>
      </c>
      <c r="F20" s="53" t="s">
        <v>516</v>
      </c>
      <c r="G20" s="478" t="s">
        <v>458</v>
      </c>
      <c r="H20" s="392" t="s">
        <v>446</v>
      </c>
      <c r="I20" s="355">
        <v>45824</v>
      </c>
      <c r="J20" s="322" t="s">
        <v>73</v>
      </c>
      <c r="K20" s="467" t="s">
        <v>34</v>
      </c>
      <c r="L20" s="362"/>
      <c r="M20" s="468" t="s">
        <v>459</v>
      </c>
      <c r="N20" s="360"/>
    </row>
    <row r="21" spans="1:14" ht="15.75">
      <c r="A21" s="498">
        <v>45821</v>
      </c>
      <c r="B21" s="499" t="s">
        <v>72</v>
      </c>
      <c r="C21" s="104" t="s">
        <v>436</v>
      </c>
      <c r="D21" s="104" t="s">
        <v>573</v>
      </c>
      <c r="E21" s="105" t="s">
        <v>571</v>
      </c>
      <c r="F21" s="480" t="s">
        <v>516</v>
      </c>
      <c r="G21" s="481" t="s">
        <v>446</v>
      </c>
      <c r="H21" s="518" t="s">
        <v>436</v>
      </c>
      <c r="I21" s="355">
        <v>45825</v>
      </c>
      <c r="J21" s="322" t="s">
        <v>73</v>
      </c>
      <c r="K21" s="467" t="s">
        <v>456</v>
      </c>
      <c r="L21" s="362"/>
      <c r="M21" s="468" t="s">
        <v>459</v>
      </c>
      <c r="N21" s="360"/>
    </row>
    <row r="22" spans="1:14" ht="15.75">
      <c r="A22" s="498">
        <v>45822</v>
      </c>
      <c r="B22" s="499" t="s">
        <v>466</v>
      </c>
      <c r="C22" s="104" t="s">
        <v>475</v>
      </c>
      <c r="D22" s="104" t="s">
        <v>455</v>
      </c>
      <c r="E22" s="105" t="s">
        <v>572</v>
      </c>
      <c r="F22" s="480" t="s">
        <v>457</v>
      </c>
      <c r="G22" s="519" t="s">
        <v>572</v>
      </c>
      <c r="H22" s="518" t="s">
        <v>455</v>
      </c>
      <c r="I22" s="355">
        <v>45826</v>
      </c>
      <c r="J22" s="322" t="s">
        <v>449</v>
      </c>
      <c r="K22" s="467" t="s">
        <v>73</v>
      </c>
      <c r="L22" s="362" t="s">
        <v>449</v>
      </c>
      <c r="M22" s="468" t="s">
        <v>459</v>
      </c>
      <c r="N22" s="360"/>
    </row>
    <row r="23" spans="1:14" ht="15.75">
      <c r="A23" s="498">
        <v>45823</v>
      </c>
      <c r="B23" s="499" t="s">
        <v>466</v>
      </c>
      <c r="C23" s="104" t="s">
        <v>475</v>
      </c>
      <c r="D23" s="104" t="s">
        <v>571</v>
      </c>
      <c r="E23" s="105" t="s">
        <v>72</v>
      </c>
      <c r="F23" s="53" t="s">
        <v>457</v>
      </c>
      <c r="G23" s="478" t="s">
        <v>14</v>
      </c>
      <c r="H23" s="392" t="s">
        <v>34</v>
      </c>
      <c r="I23" s="355">
        <v>45827</v>
      </c>
      <c r="J23" s="322" t="s">
        <v>73</v>
      </c>
      <c r="K23" s="467" t="s">
        <v>34</v>
      </c>
      <c r="L23" s="362"/>
      <c r="M23" s="468" t="s">
        <v>459</v>
      </c>
      <c r="N23" s="360"/>
    </row>
    <row r="24" spans="1:14" ht="15.75">
      <c r="A24" s="498">
        <v>45824</v>
      </c>
      <c r="B24" s="499" t="s">
        <v>466</v>
      </c>
      <c r="C24" s="104" t="s">
        <v>475</v>
      </c>
      <c r="D24" s="104" t="s">
        <v>571</v>
      </c>
      <c r="E24" s="105" t="s">
        <v>72</v>
      </c>
      <c r="F24" s="53" t="s">
        <v>516</v>
      </c>
      <c r="G24" s="478" t="s">
        <v>459</v>
      </c>
      <c r="H24" s="503" t="s">
        <v>403</v>
      </c>
      <c r="I24" s="355">
        <v>45828</v>
      </c>
      <c r="J24" s="469"/>
      <c r="K24" s="470" t="s">
        <v>456</v>
      </c>
      <c r="L24" s="471"/>
      <c r="M24" s="472" t="s">
        <v>459</v>
      </c>
      <c r="N24" s="360"/>
    </row>
    <row r="25" spans="1:14" ht="15.75">
      <c r="A25" s="498">
        <v>45825</v>
      </c>
      <c r="B25" s="499" t="s">
        <v>572</v>
      </c>
      <c r="C25" s="104" t="s">
        <v>475</v>
      </c>
      <c r="D25" s="104" t="s">
        <v>571</v>
      </c>
      <c r="E25" s="105" t="s">
        <v>72</v>
      </c>
      <c r="F25" s="53" t="s">
        <v>516</v>
      </c>
      <c r="G25" s="478" t="s">
        <v>572</v>
      </c>
      <c r="H25" s="392" t="s">
        <v>475</v>
      </c>
      <c r="I25" s="355">
        <v>45829</v>
      </c>
      <c r="J25" s="469"/>
      <c r="K25" s="470" t="s">
        <v>449</v>
      </c>
      <c r="L25" s="471"/>
      <c r="M25" s="472"/>
      <c r="N25" s="360"/>
    </row>
    <row r="26" spans="1:14" ht="15.75">
      <c r="A26" s="498">
        <v>45826</v>
      </c>
      <c r="B26" s="499" t="s">
        <v>466</v>
      </c>
      <c r="C26" s="104" t="s">
        <v>475</v>
      </c>
      <c r="D26" s="104" t="s">
        <v>571</v>
      </c>
      <c r="E26" s="105" t="s">
        <v>72</v>
      </c>
      <c r="F26" s="53" t="s">
        <v>457</v>
      </c>
      <c r="G26" s="478" t="s">
        <v>449</v>
      </c>
      <c r="H26" s="392" t="s">
        <v>476</v>
      </c>
      <c r="I26" s="355">
        <v>45830</v>
      </c>
      <c r="J26" s="322" t="s">
        <v>73</v>
      </c>
      <c r="K26" s="467" t="s">
        <v>34</v>
      </c>
      <c r="L26" s="362"/>
      <c r="M26" s="468" t="s">
        <v>449</v>
      </c>
      <c r="N26" s="360"/>
    </row>
    <row r="27" spans="1:14" ht="15.75">
      <c r="A27" s="498">
        <v>45827</v>
      </c>
      <c r="B27" s="499" t="s">
        <v>466</v>
      </c>
      <c r="C27" s="104" t="s">
        <v>572</v>
      </c>
      <c r="D27" s="104" t="s">
        <v>571</v>
      </c>
      <c r="E27" s="105" t="s">
        <v>72</v>
      </c>
      <c r="F27" s="53" t="s">
        <v>457</v>
      </c>
      <c r="G27" s="478" t="s">
        <v>458</v>
      </c>
      <c r="H27" s="392" t="s">
        <v>446</v>
      </c>
      <c r="I27" s="355">
        <v>45831</v>
      </c>
      <c r="J27" s="322" t="s">
        <v>73</v>
      </c>
      <c r="K27" s="467" t="s">
        <v>456</v>
      </c>
      <c r="L27" s="362"/>
      <c r="M27" s="468" t="s">
        <v>459</v>
      </c>
      <c r="N27" s="360"/>
    </row>
    <row r="28" spans="1:14" ht="15.75">
      <c r="A28" s="498">
        <v>45828</v>
      </c>
      <c r="B28" s="499" t="s">
        <v>72</v>
      </c>
      <c r="C28" s="104" t="s">
        <v>436</v>
      </c>
      <c r="D28" s="104" t="s">
        <v>573</v>
      </c>
      <c r="E28" s="105" t="s">
        <v>571</v>
      </c>
      <c r="F28" s="480" t="s">
        <v>516</v>
      </c>
      <c r="G28" s="481" t="s">
        <v>446</v>
      </c>
      <c r="H28" s="518" t="s">
        <v>436</v>
      </c>
      <c r="I28" s="355">
        <v>45832</v>
      </c>
      <c r="J28" s="322" t="s">
        <v>73</v>
      </c>
      <c r="K28" s="467" t="s">
        <v>449</v>
      </c>
      <c r="L28" s="362"/>
      <c r="M28" s="468" t="s">
        <v>459</v>
      </c>
      <c r="N28" s="360"/>
    </row>
    <row r="29" spans="1:14" ht="15.75">
      <c r="A29" s="498">
        <v>45829</v>
      </c>
      <c r="B29" s="499" t="s">
        <v>466</v>
      </c>
      <c r="C29" s="104" t="s">
        <v>475</v>
      </c>
      <c r="D29" s="104" t="s">
        <v>455</v>
      </c>
      <c r="E29" s="105" t="s">
        <v>572</v>
      </c>
      <c r="F29" s="480" t="s">
        <v>516</v>
      </c>
      <c r="G29" s="519" t="s">
        <v>516</v>
      </c>
      <c r="H29" s="518" t="s">
        <v>455</v>
      </c>
      <c r="I29" s="355">
        <v>45833</v>
      </c>
      <c r="J29" s="322" t="s">
        <v>34</v>
      </c>
      <c r="K29" s="467" t="s">
        <v>73</v>
      </c>
      <c r="L29" s="362" t="s">
        <v>34</v>
      </c>
      <c r="M29" s="468" t="s">
        <v>459</v>
      </c>
      <c r="N29" s="360"/>
    </row>
    <row r="30" spans="1:14" ht="15.75">
      <c r="A30" s="498">
        <v>45830</v>
      </c>
      <c r="B30" s="499" t="s">
        <v>466</v>
      </c>
      <c r="C30" s="104" t="s">
        <v>475</v>
      </c>
      <c r="D30" s="104" t="s">
        <v>571</v>
      </c>
      <c r="E30" s="105" t="s">
        <v>72</v>
      </c>
      <c r="F30" s="53" t="s">
        <v>457</v>
      </c>
      <c r="G30" s="478" t="s">
        <v>14</v>
      </c>
      <c r="H30" s="392" t="s">
        <v>572</v>
      </c>
      <c r="I30" s="355">
        <v>45834</v>
      </c>
      <c r="J30" s="322" t="s">
        <v>73</v>
      </c>
      <c r="K30" s="467" t="s">
        <v>456</v>
      </c>
      <c r="L30" s="362"/>
      <c r="M30" s="468" t="s">
        <v>459</v>
      </c>
      <c r="N30" s="360"/>
    </row>
    <row r="31" spans="1:14" ht="15.75">
      <c r="A31" s="498">
        <v>45831</v>
      </c>
      <c r="B31" s="499" t="s">
        <v>466</v>
      </c>
      <c r="C31" s="104" t="s">
        <v>475</v>
      </c>
      <c r="D31" s="104" t="s">
        <v>571</v>
      </c>
      <c r="E31" s="105" t="s">
        <v>72</v>
      </c>
      <c r="F31" s="53" t="s">
        <v>457</v>
      </c>
      <c r="G31" s="478" t="s">
        <v>459</v>
      </c>
      <c r="H31" s="392" t="s">
        <v>449</v>
      </c>
      <c r="I31" s="355">
        <v>45835</v>
      </c>
      <c r="J31" s="469"/>
      <c r="K31" s="470" t="s">
        <v>449</v>
      </c>
      <c r="L31" s="471"/>
      <c r="M31" s="472" t="s">
        <v>459</v>
      </c>
      <c r="N31" s="360"/>
    </row>
    <row r="32" spans="1:14" ht="15.75">
      <c r="A32" s="498">
        <v>45832</v>
      </c>
      <c r="B32" s="499" t="s">
        <v>572</v>
      </c>
      <c r="C32" s="104" t="s">
        <v>475</v>
      </c>
      <c r="D32" s="104" t="s">
        <v>571</v>
      </c>
      <c r="E32" s="105" t="s">
        <v>72</v>
      </c>
      <c r="F32" s="53" t="s">
        <v>516</v>
      </c>
      <c r="G32" s="478" t="s">
        <v>572</v>
      </c>
      <c r="H32" s="392" t="s">
        <v>475</v>
      </c>
      <c r="I32" s="355">
        <v>45836</v>
      </c>
      <c r="J32" s="469"/>
      <c r="K32" s="470" t="s">
        <v>34</v>
      </c>
      <c r="L32" s="471"/>
      <c r="M32" s="472"/>
      <c r="N32" s="360"/>
    </row>
    <row r="33" spans="1:15" ht="15.75">
      <c r="A33" s="498">
        <v>45833</v>
      </c>
      <c r="B33" s="499" t="s">
        <v>466</v>
      </c>
      <c r="C33" s="104" t="s">
        <v>475</v>
      </c>
      <c r="D33" s="104" t="s">
        <v>571</v>
      </c>
      <c r="E33" s="105" t="s">
        <v>72</v>
      </c>
      <c r="F33" s="53" t="s">
        <v>516</v>
      </c>
      <c r="G33" s="478" t="s">
        <v>34</v>
      </c>
      <c r="H33" s="392" t="s">
        <v>455</v>
      </c>
      <c r="I33" s="355">
        <v>45837</v>
      </c>
      <c r="J33" s="322" t="s">
        <v>73</v>
      </c>
      <c r="K33" s="467" t="s">
        <v>456</v>
      </c>
      <c r="L33" s="362"/>
      <c r="M33" s="468" t="s">
        <v>34</v>
      </c>
      <c r="N33" s="360"/>
    </row>
    <row r="34" spans="1:15" ht="15.75">
      <c r="A34" s="498">
        <v>45834</v>
      </c>
      <c r="B34" s="499" t="s">
        <v>466</v>
      </c>
      <c r="C34" s="104" t="s">
        <v>572</v>
      </c>
      <c r="D34" s="104" t="s">
        <v>571</v>
      </c>
      <c r="E34" s="105" t="s">
        <v>72</v>
      </c>
      <c r="F34" s="53" t="s">
        <v>457</v>
      </c>
      <c r="G34" s="478" t="s">
        <v>458</v>
      </c>
      <c r="H34" s="392" t="s">
        <v>446</v>
      </c>
      <c r="I34" s="355">
        <v>45838</v>
      </c>
      <c r="J34" s="322" t="s">
        <v>73</v>
      </c>
      <c r="K34" s="467" t="s">
        <v>449</v>
      </c>
      <c r="L34" s="362"/>
      <c r="M34" s="468" t="s">
        <v>459</v>
      </c>
      <c r="N34" s="360"/>
    </row>
    <row r="35" spans="1:15" ht="15.75">
      <c r="A35" s="498">
        <v>45835</v>
      </c>
      <c r="B35" s="499" t="s">
        <v>72</v>
      </c>
      <c r="C35" s="104" t="s">
        <v>436</v>
      </c>
      <c r="D35" s="104" t="s">
        <v>573</v>
      </c>
      <c r="E35" s="105" t="s">
        <v>571</v>
      </c>
      <c r="F35" s="480" t="s">
        <v>457</v>
      </c>
      <c r="G35" s="481" t="s">
        <v>446</v>
      </c>
      <c r="H35" s="518" t="s">
        <v>436</v>
      </c>
      <c r="I35" s="489"/>
      <c r="J35" s="337"/>
      <c r="K35" s="492"/>
      <c r="L35" s="493"/>
      <c r="M35" s="494"/>
      <c r="N35" s="405"/>
    </row>
    <row r="36" spans="1:15" ht="15.75">
      <c r="A36" s="498">
        <v>45836</v>
      </c>
      <c r="B36" s="499" t="s">
        <v>466</v>
      </c>
      <c r="C36" s="104" t="s">
        <v>475</v>
      </c>
      <c r="D36" s="104" t="s">
        <v>455</v>
      </c>
      <c r="E36" s="105" t="s">
        <v>572</v>
      </c>
      <c r="F36" s="480" t="s">
        <v>516</v>
      </c>
      <c r="G36" s="519" t="s">
        <v>516</v>
      </c>
      <c r="H36" s="518" t="s">
        <v>455</v>
      </c>
      <c r="I36" s="1362"/>
      <c r="J36" s="1363"/>
      <c r="K36" s="407" t="s">
        <v>542</v>
      </c>
      <c r="L36" s="407" t="s">
        <v>548</v>
      </c>
      <c r="M36" s="408" t="s">
        <v>549</v>
      </c>
      <c r="N36" s="298" t="s">
        <v>550</v>
      </c>
      <c r="O36" s="8" t="s">
        <v>479</v>
      </c>
    </row>
    <row r="37" spans="1:15" ht="15.75">
      <c r="A37" s="498">
        <v>45837</v>
      </c>
      <c r="B37" s="499" t="s">
        <v>466</v>
      </c>
      <c r="C37" s="104" t="s">
        <v>475</v>
      </c>
      <c r="D37" s="104" t="s">
        <v>571</v>
      </c>
      <c r="E37" s="105" t="s">
        <v>72</v>
      </c>
      <c r="F37" s="53" t="s">
        <v>516</v>
      </c>
      <c r="G37" s="478" t="s">
        <v>476</v>
      </c>
      <c r="H37" s="392" t="s">
        <v>34</v>
      </c>
      <c r="I37" s="496" t="s">
        <v>551</v>
      </c>
      <c r="J37" s="496"/>
      <c r="K37" s="303"/>
      <c r="L37" s="304"/>
      <c r="M37" s="305"/>
      <c r="N37" s="306"/>
      <c r="O37" s="307"/>
    </row>
    <row r="38" spans="1:15" ht="15.75">
      <c r="A38" s="414">
        <v>45838</v>
      </c>
      <c r="B38" s="520" t="s">
        <v>466</v>
      </c>
      <c r="C38" s="115" t="s">
        <v>475</v>
      </c>
      <c r="D38" s="115" t="s">
        <v>571</v>
      </c>
      <c r="E38" s="116" t="s">
        <v>72</v>
      </c>
      <c r="F38" s="53" t="s">
        <v>457</v>
      </c>
      <c r="G38" s="478" t="s">
        <v>458</v>
      </c>
      <c r="H38" s="392" t="s">
        <v>455</v>
      </c>
      <c r="I38" s="1329" t="s">
        <v>213</v>
      </c>
      <c r="J38" s="1329"/>
      <c r="K38" s="315"/>
      <c r="L38" s="316"/>
      <c r="M38" s="317"/>
      <c r="N38" s="318"/>
      <c r="O38" s="319"/>
    </row>
    <row r="39" spans="1:15" ht="15.75">
      <c r="A39" s="364"/>
      <c r="B39" s="521"/>
      <c r="C39" s="366"/>
      <c r="D39" s="366"/>
      <c r="E39" s="513"/>
      <c r="F39" s="522"/>
      <c r="G39" s="497"/>
      <c r="H39" s="404"/>
      <c r="I39" s="1329" t="s">
        <v>552</v>
      </c>
      <c r="J39" s="1329"/>
      <c r="K39" s="315"/>
      <c r="L39" s="316"/>
      <c r="M39" s="317"/>
      <c r="N39" s="318"/>
      <c r="O39" s="319"/>
    </row>
    <row r="40" spans="1:15">
      <c r="I40" s="1328" t="s">
        <v>212</v>
      </c>
      <c r="J40" s="1329"/>
      <c r="K40" s="315"/>
      <c r="L40" s="316"/>
      <c r="M40" s="317"/>
      <c r="N40" s="318"/>
      <c r="O40" s="319"/>
    </row>
    <row r="41" spans="1:15">
      <c r="I41" s="1330" t="s">
        <v>565</v>
      </c>
      <c r="J41" s="1331"/>
      <c r="K41" s="322"/>
      <c r="L41" s="316"/>
      <c r="M41" s="317"/>
      <c r="N41" s="318"/>
      <c r="O41" s="319"/>
    </row>
    <row r="42" spans="1:15">
      <c r="I42" s="1326" t="s">
        <v>566</v>
      </c>
      <c r="J42" s="1327"/>
      <c r="K42" s="315"/>
      <c r="L42" s="316"/>
      <c r="M42" s="317"/>
      <c r="N42" s="318"/>
      <c r="O42" s="319"/>
    </row>
    <row r="43" spans="1:15">
      <c r="I43" s="1322" t="s">
        <v>567</v>
      </c>
      <c r="J43" s="1323"/>
      <c r="K43" s="315"/>
      <c r="L43" s="316"/>
      <c r="M43" s="317"/>
      <c r="N43" s="318"/>
      <c r="O43" s="319"/>
    </row>
    <row r="44" spans="1:15">
      <c r="I44" s="1322" t="s">
        <v>568</v>
      </c>
      <c r="J44" s="1323"/>
      <c r="K44" s="315"/>
      <c r="L44" s="316"/>
      <c r="M44" s="317"/>
      <c r="N44" s="318"/>
      <c r="O44" s="319"/>
    </row>
    <row r="45" spans="1:15">
      <c r="I45" s="1322" t="s">
        <v>569</v>
      </c>
      <c r="J45" s="1323"/>
      <c r="K45" s="315"/>
      <c r="L45" s="316"/>
      <c r="M45" s="317"/>
      <c r="N45" s="318"/>
      <c r="O45" s="319"/>
    </row>
    <row r="46" spans="1:15">
      <c r="I46" s="1322" t="s">
        <v>558</v>
      </c>
      <c r="J46" s="1323"/>
      <c r="K46" s="322"/>
      <c r="L46" s="330"/>
      <c r="M46" s="317"/>
      <c r="N46" s="318"/>
      <c r="O46" s="319"/>
    </row>
    <row r="47" spans="1:15">
      <c r="I47" s="1322" t="s">
        <v>222</v>
      </c>
      <c r="J47" s="1323"/>
      <c r="K47" s="315"/>
      <c r="L47" s="316"/>
      <c r="M47" s="317"/>
      <c r="N47" s="318"/>
      <c r="O47" s="319"/>
    </row>
    <row r="48" spans="1:15">
      <c r="I48" s="1322" t="s">
        <v>559</v>
      </c>
      <c r="J48" s="1323"/>
      <c r="K48" s="315"/>
      <c r="L48" s="316"/>
      <c r="M48" s="317"/>
      <c r="N48" s="318"/>
      <c r="O48" s="319"/>
    </row>
    <row r="49" spans="9:15">
      <c r="I49" s="197" t="s">
        <v>560</v>
      </c>
      <c r="J49" s="326"/>
      <c r="K49" s="315"/>
      <c r="L49" s="316"/>
      <c r="M49" s="317"/>
      <c r="N49" s="318"/>
      <c r="O49" s="319"/>
    </row>
    <row r="50" spans="9:15">
      <c r="I50" s="197" t="s">
        <v>561</v>
      </c>
      <c r="J50" s="326"/>
      <c r="K50" s="331"/>
      <c r="L50" s="332"/>
      <c r="M50" s="333"/>
      <c r="N50" s="334"/>
      <c r="O50" s="335"/>
    </row>
    <row r="51" spans="9:15">
      <c r="I51" s="1322" t="s">
        <v>574</v>
      </c>
      <c r="J51" s="1323"/>
      <c r="K51" s="322"/>
      <c r="L51" s="317"/>
      <c r="M51" s="317"/>
      <c r="N51" s="318"/>
      <c r="O51" s="319"/>
    </row>
    <row r="52" spans="9:15">
      <c r="I52" s="1308"/>
      <c r="J52" s="1309"/>
      <c r="K52" s="337"/>
      <c r="L52" s="338"/>
      <c r="M52" s="338"/>
      <c r="N52" s="339"/>
      <c r="O52" s="340"/>
    </row>
  </sheetData>
  <mergeCells count="31">
    <mergeCell ref="J10:M10"/>
    <mergeCell ref="J11:M11"/>
    <mergeCell ref="J12:M12"/>
    <mergeCell ref="B14:H14"/>
    <mergeCell ref="B15:H15"/>
    <mergeCell ref="B16:H16"/>
    <mergeCell ref="I36:J36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51:J51"/>
    <mergeCell ref="I52:J52"/>
    <mergeCell ref="A1:A4"/>
    <mergeCell ref="A6:A8"/>
    <mergeCell ref="I3:I4"/>
    <mergeCell ref="B6:E7"/>
    <mergeCell ref="F6:H7"/>
    <mergeCell ref="B1:G4"/>
    <mergeCell ref="I1:M1"/>
    <mergeCell ref="I2:M2"/>
    <mergeCell ref="J3:K3"/>
    <mergeCell ref="C5:D5"/>
    <mergeCell ref="G8:H8"/>
  </mergeCells>
  <pageMargins left="0" right="0" top="0" bottom="0" header="0" footer="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2"/>
  <sheetViews>
    <sheetView topLeftCell="A13" workbookViewId="0">
      <selection activeCell="Q33" sqref="Q33"/>
    </sheetView>
  </sheetViews>
  <sheetFormatPr baseColWidth="10" defaultColWidth="11" defaultRowHeight="15"/>
  <cols>
    <col min="1" max="1" width="28.140625" customWidth="1"/>
    <col min="2" max="2" width="10.7109375" customWidth="1"/>
    <col min="3" max="5" width="9.85546875" customWidth="1"/>
    <col min="6" max="8" width="9.7109375" customWidth="1"/>
    <col min="9" max="9" width="28.85546875" customWidth="1"/>
    <col min="10" max="13" width="10.7109375" customWidth="1"/>
    <col min="14" max="14" width="10.28515625" customWidth="1"/>
    <col min="15" max="15" width="10.7109375" customWidth="1"/>
  </cols>
  <sheetData>
    <row r="1" spans="1:14" ht="18.75">
      <c r="A1" s="1083"/>
      <c r="B1" s="1311" t="s">
        <v>592</v>
      </c>
      <c r="C1" s="1311"/>
      <c r="D1" s="1311"/>
      <c r="E1" s="1311"/>
      <c r="F1" s="1311"/>
      <c r="G1" s="1311"/>
      <c r="I1" s="1348" t="s">
        <v>539</v>
      </c>
      <c r="J1" s="1348"/>
      <c r="K1" s="1348"/>
      <c r="L1" s="1348"/>
      <c r="M1" s="1348"/>
    </row>
    <row r="2" spans="1:14" ht="15.75" customHeight="1">
      <c r="A2" s="1083"/>
      <c r="B2" s="1311"/>
      <c r="C2" s="1311"/>
      <c r="D2" s="1311"/>
      <c r="E2" s="1311"/>
      <c r="F2" s="1311"/>
      <c r="G2" s="1311"/>
      <c r="I2" s="1349" t="s">
        <v>593</v>
      </c>
      <c r="J2" s="1349"/>
      <c r="K2" s="1350"/>
      <c r="L2" s="1350"/>
      <c r="M2" s="1350"/>
      <c r="N2" s="353"/>
    </row>
    <row r="3" spans="1:14" ht="16.5" customHeight="1">
      <c r="A3" s="1083"/>
      <c r="B3" s="1311"/>
      <c r="C3" s="1311"/>
      <c r="D3" s="1311"/>
      <c r="E3" s="1311"/>
      <c r="F3" s="1311"/>
      <c r="G3" s="1311"/>
      <c r="I3" s="1355"/>
      <c r="J3" s="1358" t="s">
        <v>5</v>
      </c>
      <c r="K3" s="1359"/>
      <c r="L3" s="286" t="s">
        <v>6</v>
      </c>
      <c r="M3" s="286" t="s">
        <v>434</v>
      </c>
      <c r="N3" s="354"/>
    </row>
    <row r="4" spans="1:14" ht="16.5" customHeight="1">
      <c r="A4" s="1083"/>
      <c r="B4" s="1311"/>
      <c r="C4" s="1311"/>
      <c r="D4" s="1311"/>
      <c r="E4" s="1311"/>
      <c r="F4" s="1311"/>
      <c r="G4" s="1311"/>
      <c r="I4" s="1357"/>
      <c r="J4" s="427" t="s">
        <v>540</v>
      </c>
      <c r="K4" s="428" t="s">
        <v>157</v>
      </c>
      <c r="L4" s="429" t="s">
        <v>168</v>
      </c>
      <c r="M4" s="429" t="s">
        <v>542</v>
      </c>
      <c r="N4" s="430"/>
    </row>
    <row r="5" spans="1:14" ht="15.75">
      <c r="A5" s="431"/>
      <c r="B5" s="431"/>
      <c r="C5" s="1126">
        <v>2025</v>
      </c>
      <c r="D5" s="1126"/>
      <c r="E5" s="2"/>
      <c r="F5" s="2"/>
      <c r="G5" s="432"/>
      <c r="I5" s="355">
        <v>45870</v>
      </c>
      <c r="J5" s="92" t="s">
        <v>456</v>
      </c>
      <c r="K5" s="433" t="s">
        <v>456</v>
      </c>
      <c r="L5" s="434"/>
      <c r="M5" s="24"/>
      <c r="N5" s="360"/>
    </row>
    <row r="6" spans="1:14" ht="16.5" customHeight="1">
      <c r="A6" s="1355" t="s">
        <v>2</v>
      </c>
      <c r="B6" s="1313" t="s">
        <v>543</v>
      </c>
      <c r="C6" s="1313"/>
      <c r="D6" s="1313"/>
      <c r="E6" s="1314"/>
      <c r="F6" s="1317" t="s">
        <v>544</v>
      </c>
      <c r="G6" s="1318"/>
      <c r="H6" s="1272"/>
      <c r="I6" s="355">
        <v>45871</v>
      </c>
      <c r="J6" s="149" t="s">
        <v>34</v>
      </c>
      <c r="K6" s="433" t="s">
        <v>34</v>
      </c>
      <c r="L6" s="435"/>
      <c r="M6" s="24"/>
      <c r="N6" s="360"/>
    </row>
    <row r="7" spans="1:14" ht="16.5" customHeight="1">
      <c r="A7" s="1356"/>
      <c r="B7" s="1315"/>
      <c r="C7" s="1315"/>
      <c r="D7" s="1315"/>
      <c r="E7" s="1316"/>
      <c r="F7" s="1319"/>
      <c r="G7" s="1320"/>
      <c r="H7" s="1321"/>
      <c r="I7" s="355">
        <v>45872</v>
      </c>
      <c r="J7" s="149" t="s">
        <v>594</v>
      </c>
      <c r="K7" s="433" t="s">
        <v>449</v>
      </c>
      <c r="L7" s="435"/>
      <c r="M7" s="24" t="s">
        <v>459</v>
      </c>
      <c r="N7" s="360"/>
    </row>
    <row r="8" spans="1:14" ht="15.75">
      <c r="A8" s="1357"/>
      <c r="B8" s="436" t="s">
        <v>8</v>
      </c>
      <c r="C8" s="12" t="s">
        <v>9</v>
      </c>
      <c r="D8" s="12" t="s">
        <v>10</v>
      </c>
      <c r="E8" s="13" t="s">
        <v>7</v>
      </c>
      <c r="F8" s="437" t="s">
        <v>545</v>
      </c>
      <c r="G8" s="1360" t="s">
        <v>546</v>
      </c>
      <c r="H8" s="1361"/>
      <c r="I8" s="355">
        <v>45873</v>
      </c>
      <c r="J8" s="149" t="s">
        <v>595</v>
      </c>
      <c r="K8" s="433" t="s">
        <v>456</v>
      </c>
      <c r="L8" s="435"/>
      <c r="M8" s="24" t="s">
        <v>459</v>
      </c>
      <c r="N8" s="360"/>
    </row>
    <row r="9" spans="1:14" ht="15.75">
      <c r="A9" s="364">
        <v>45870</v>
      </c>
      <c r="B9" s="438" t="s">
        <v>34</v>
      </c>
      <c r="C9" s="22" t="s">
        <v>436</v>
      </c>
      <c r="D9" s="22" t="s">
        <v>457</v>
      </c>
      <c r="E9" s="439" t="s">
        <v>476</v>
      </c>
      <c r="F9" s="25"/>
      <c r="G9" s="440" t="s">
        <v>436</v>
      </c>
      <c r="H9" s="441" t="s">
        <v>34</v>
      </c>
      <c r="I9" s="355">
        <v>45874</v>
      </c>
      <c r="J9" s="442" t="s">
        <v>73</v>
      </c>
      <c r="K9" s="443" t="s">
        <v>73</v>
      </c>
      <c r="L9" s="444"/>
      <c r="M9" s="24" t="s">
        <v>459</v>
      </c>
      <c r="N9" s="360"/>
    </row>
    <row r="10" spans="1:14" ht="15.75">
      <c r="A10" s="364">
        <v>45871</v>
      </c>
      <c r="B10" s="445" t="s">
        <v>466</v>
      </c>
      <c r="C10" s="22" t="s">
        <v>475</v>
      </c>
      <c r="D10" s="22" t="s">
        <v>455</v>
      </c>
      <c r="E10" s="439" t="s">
        <v>572</v>
      </c>
      <c r="F10" s="36" t="s">
        <v>475</v>
      </c>
      <c r="G10" s="446" t="s">
        <v>455</v>
      </c>
      <c r="H10" s="447" t="s">
        <v>449</v>
      </c>
      <c r="I10" s="355">
        <v>45875</v>
      </c>
      <c r="J10" s="442" t="s">
        <v>34</v>
      </c>
      <c r="K10" s="443" t="s">
        <v>73</v>
      </c>
      <c r="L10" s="444" t="s">
        <v>34</v>
      </c>
      <c r="M10" s="24" t="s">
        <v>459</v>
      </c>
      <c r="N10" s="360"/>
    </row>
    <row r="11" spans="1:14" ht="15.75">
      <c r="A11" s="364">
        <v>45872</v>
      </c>
      <c r="B11" s="445" t="s">
        <v>466</v>
      </c>
      <c r="C11" s="22" t="s">
        <v>475</v>
      </c>
      <c r="D11" s="22" t="s">
        <v>476</v>
      </c>
      <c r="E11" s="439" t="s">
        <v>457</v>
      </c>
      <c r="F11" s="38"/>
      <c r="G11" s="446" t="s">
        <v>516</v>
      </c>
      <c r="H11" s="447" t="s">
        <v>459</v>
      </c>
      <c r="I11" s="355">
        <v>45876</v>
      </c>
      <c r="J11" s="442" t="s">
        <v>34</v>
      </c>
      <c r="K11" s="443" t="s">
        <v>456</v>
      </c>
      <c r="L11" s="444"/>
      <c r="M11" s="24" t="s">
        <v>459</v>
      </c>
      <c r="N11" s="360"/>
    </row>
    <row r="12" spans="1:14" ht="15.75">
      <c r="A12" s="364">
        <v>45873</v>
      </c>
      <c r="B12" s="445" t="s">
        <v>466</v>
      </c>
      <c r="C12" s="22" t="s">
        <v>475</v>
      </c>
      <c r="D12" s="22" t="s">
        <v>476</v>
      </c>
      <c r="E12" s="439" t="s">
        <v>457</v>
      </c>
      <c r="F12" s="38" t="s">
        <v>516</v>
      </c>
      <c r="G12" s="446" t="s">
        <v>458</v>
      </c>
      <c r="H12" s="447" t="s">
        <v>455</v>
      </c>
      <c r="I12" s="355">
        <v>45877</v>
      </c>
      <c r="J12" s="442" t="s">
        <v>456</v>
      </c>
      <c r="K12" s="443" t="s">
        <v>34</v>
      </c>
      <c r="L12" s="444"/>
      <c r="M12" s="448"/>
      <c r="N12" s="360"/>
    </row>
    <row r="13" spans="1:14" ht="15.75">
      <c r="A13" s="364">
        <v>45874</v>
      </c>
      <c r="B13" s="449" t="s">
        <v>572</v>
      </c>
      <c r="C13" s="22" t="s">
        <v>475</v>
      </c>
      <c r="D13" s="22" t="s">
        <v>476</v>
      </c>
      <c r="E13" s="439" t="s">
        <v>457</v>
      </c>
      <c r="F13" s="25"/>
      <c r="G13" s="450" t="s">
        <v>446</v>
      </c>
      <c r="H13" s="451" t="s">
        <v>459</v>
      </c>
      <c r="I13" s="355">
        <v>45878</v>
      </c>
      <c r="J13" s="442" t="s">
        <v>34</v>
      </c>
      <c r="K13" s="443" t="s">
        <v>34</v>
      </c>
      <c r="L13" s="444"/>
      <c r="M13" s="452" t="s">
        <v>21</v>
      </c>
      <c r="N13" s="360"/>
    </row>
    <row r="14" spans="1:14" ht="15.75">
      <c r="A14" s="364">
        <v>45875</v>
      </c>
      <c r="B14" s="449" t="s">
        <v>466</v>
      </c>
      <c r="C14" s="22" t="s">
        <v>475</v>
      </c>
      <c r="D14" s="22" t="s">
        <v>476</v>
      </c>
      <c r="E14" s="439" t="s">
        <v>457</v>
      </c>
      <c r="F14" s="36" t="s">
        <v>72</v>
      </c>
      <c r="G14" s="450" t="s">
        <v>475</v>
      </c>
      <c r="H14" s="451" t="s">
        <v>34</v>
      </c>
      <c r="I14" s="355">
        <v>45879</v>
      </c>
      <c r="J14" s="442" t="s">
        <v>596</v>
      </c>
      <c r="K14" s="443" t="s">
        <v>456</v>
      </c>
      <c r="L14" s="444"/>
      <c r="M14" s="453" t="s">
        <v>459</v>
      </c>
      <c r="N14" s="360"/>
    </row>
    <row r="15" spans="1:14" ht="15.75">
      <c r="A15" s="364">
        <v>45876</v>
      </c>
      <c r="B15" s="449" t="s">
        <v>466</v>
      </c>
      <c r="C15" s="454" t="s">
        <v>572</v>
      </c>
      <c r="D15" s="22" t="s">
        <v>476</v>
      </c>
      <c r="E15" s="439" t="s">
        <v>457</v>
      </c>
      <c r="F15" s="38" t="s">
        <v>146</v>
      </c>
      <c r="G15" s="450" t="s">
        <v>458</v>
      </c>
      <c r="H15" s="451" t="s">
        <v>588</v>
      </c>
      <c r="I15" s="355">
        <v>45880</v>
      </c>
      <c r="J15" s="442" t="s">
        <v>597</v>
      </c>
      <c r="K15" s="443" t="s">
        <v>73</v>
      </c>
      <c r="L15" s="444"/>
      <c r="M15" s="453" t="s">
        <v>459</v>
      </c>
      <c r="N15" s="360"/>
    </row>
    <row r="16" spans="1:14" ht="15.75">
      <c r="A16" s="364">
        <v>45877</v>
      </c>
      <c r="B16" s="449" t="s">
        <v>73</v>
      </c>
      <c r="C16" s="454" t="s">
        <v>436</v>
      </c>
      <c r="D16" s="454" t="s">
        <v>457</v>
      </c>
      <c r="E16" s="455" t="s">
        <v>476</v>
      </c>
      <c r="F16" s="38" t="s">
        <v>598</v>
      </c>
      <c r="G16" s="446" t="s">
        <v>436</v>
      </c>
      <c r="H16" s="451" t="s">
        <v>73</v>
      </c>
      <c r="I16" s="355">
        <v>45881</v>
      </c>
      <c r="J16" s="442" t="s">
        <v>295</v>
      </c>
      <c r="K16" s="443" t="s">
        <v>34</v>
      </c>
      <c r="L16" s="444"/>
      <c r="M16" s="453" t="s">
        <v>459</v>
      </c>
      <c r="N16" s="360"/>
    </row>
    <row r="17" spans="1:14" ht="15.75">
      <c r="A17" s="364">
        <v>45878</v>
      </c>
      <c r="B17" s="449" t="s">
        <v>466</v>
      </c>
      <c r="C17" s="454" t="s">
        <v>475</v>
      </c>
      <c r="D17" s="454" t="s">
        <v>455</v>
      </c>
      <c r="E17" s="455" t="s">
        <v>572</v>
      </c>
      <c r="F17" s="25" t="s">
        <v>475</v>
      </c>
      <c r="G17" s="446" t="s">
        <v>455</v>
      </c>
      <c r="H17" s="451" t="s">
        <v>73</v>
      </c>
      <c r="I17" s="355">
        <v>45882</v>
      </c>
      <c r="J17" s="442" t="s">
        <v>34</v>
      </c>
      <c r="K17" s="443" t="s">
        <v>34</v>
      </c>
      <c r="L17" s="444" t="s">
        <v>110</v>
      </c>
      <c r="M17" s="453" t="s">
        <v>459</v>
      </c>
      <c r="N17" s="360"/>
    </row>
    <row r="18" spans="1:14" ht="15.75">
      <c r="A18" s="364">
        <v>45879</v>
      </c>
      <c r="B18" s="449" t="s">
        <v>466</v>
      </c>
      <c r="C18" s="454" t="s">
        <v>475</v>
      </c>
      <c r="D18" s="454" t="s">
        <v>476</v>
      </c>
      <c r="E18" s="455" t="s">
        <v>457</v>
      </c>
      <c r="F18" s="36" t="s">
        <v>599</v>
      </c>
      <c r="G18" s="446" t="s">
        <v>459</v>
      </c>
      <c r="H18" s="451" t="s">
        <v>34</v>
      </c>
      <c r="I18" s="355">
        <v>45883</v>
      </c>
      <c r="J18" s="442" t="s">
        <v>21</v>
      </c>
      <c r="K18" s="443" t="s">
        <v>73</v>
      </c>
      <c r="L18" s="444"/>
      <c r="M18" s="453" t="s">
        <v>459</v>
      </c>
      <c r="N18" s="360"/>
    </row>
    <row r="19" spans="1:14" ht="15.75">
      <c r="A19" s="364">
        <v>45880</v>
      </c>
      <c r="B19" s="449" t="s">
        <v>466</v>
      </c>
      <c r="C19" s="454" t="s">
        <v>475</v>
      </c>
      <c r="D19" s="454" t="s">
        <v>476</v>
      </c>
      <c r="E19" s="455" t="s">
        <v>457</v>
      </c>
      <c r="F19" s="38" t="s">
        <v>598</v>
      </c>
      <c r="G19" s="446" t="s">
        <v>458</v>
      </c>
      <c r="H19" s="451" t="s">
        <v>455</v>
      </c>
      <c r="I19" s="355">
        <v>45884</v>
      </c>
      <c r="J19" s="149" t="s">
        <v>34</v>
      </c>
      <c r="K19" s="433" t="s">
        <v>34</v>
      </c>
      <c r="L19" s="435"/>
      <c r="M19" s="24" t="s">
        <v>21</v>
      </c>
      <c r="N19" s="360"/>
    </row>
    <row r="20" spans="1:14" ht="15.75">
      <c r="A20" s="364">
        <v>45881</v>
      </c>
      <c r="B20" s="438" t="s">
        <v>572</v>
      </c>
      <c r="C20" s="454" t="s">
        <v>475</v>
      </c>
      <c r="D20" s="454" t="s">
        <v>476</v>
      </c>
      <c r="E20" s="455" t="s">
        <v>457</v>
      </c>
      <c r="F20" s="38" t="s">
        <v>475</v>
      </c>
      <c r="G20" s="450" t="s">
        <v>436</v>
      </c>
      <c r="H20" s="451" t="s">
        <v>516</v>
      </c>
      <c r="I20" s="355">
        <v>45885</v>
      </c>
      <c r="J20" s="149" t="s">
        <v>456</v>
      </c>
      <c r="K20" s="433" t="s">
        <v>456</v>
      </c>
      <c r="L20" s="435"/>
      <c r="M20" s="452"/>
      <c r="N20" s="360"/>
    </row>
    <row r="21" spans="1:14" ht="15.75">
      <c r="A21" s="364">
        <v>45882</v>
      </c>
      <c r="B21" s="438" t="s">
        <v>466</v>
      </c>
      <c r="C21" s="454" t="s">
        <v>475</v>
      </c>
      <c r="D21" s="454" t="s">
        <v>476</v>
      </c>
      <c r="E21" s="455" t="s">
        <v>457</v>
      </c>
      <c r="F21" s="27" t="s">
        <v>466</v>
      </c>
      <c r="G21" s="446" t="s">
        <v>475</v>
      </c>
      <c r="H21" s="451" t="s">
        <v>459</v>
      </c>
      <c r="I21" s="355">
        <v>45886</v>
      </c>
      <c r="J21" s="149" t="s">
        <v>73</v>
      </c>
      <c r="K21" s="433" t="s">
        <v>73</v>
      </c>
      <c r="L21" s="435"/>
      <c r="M21" s="24" t="s">
        <v>459</v>
      </c>
      <c r="N21" s="360"/>
    </row>
    <row r="22" spans="1:14" ht="15.75">
      <c r="A22" s="364">
        <v>45883</v>
      </c>
      <c r="B22" s="438" t="s">
        <v>466</v>
      </c>
      <c r="C22" s="22" t="s">
        <v>572</v>
      </c>
      <c r="D22" s="454" t="s">
        <v>476</v>
      </c>
      <c r="E22" s="455" t="s">
        <v>457</v>
      </c>
      <c r="F22" s="36"/>
      <c r="G22" s="456" t="s">
        <v>458</v>
      </c>
      <c r="H22" s="451" t="s">
        <v>446</v>
      </c>
      <c r="I22" s="355">
        <v>45887</v>
      </c>
      <c r="J22" s="149" t="s">
        <v>73</v>
      </c>
      <c r="K22" s="433" t="s">
        <v>34</v>
      </c>
      <c r="L22" s="435"/>
      <c r="M22" s="24" t="s">
        <v>459</v>
      </c>
      <c r="N22" s="360"/>
    </row>
    <row r="23" spans="1:14" ht="15.75">
      <c r="A23" s="364">
        <v>45884</v>
      </c>
      <c r="B23" s="438" t="s">
        <v>446</v>
      </c>
      <c r="C23" s="22" t="s">
        <v>436</v>
      </c>
      <c r="D23" s="22" t="s">
        <v>457</v>
      </c>
      <c r="E23" s="439" t="s">
        <v>476</v>
      </c>
      <c r="F23" s="38"/>
      <c r="G23" s="446" t="s">
        <v>436</v>
      </c>
      <c r="H23" s="447" t="s">
        <v>516</v>
      </c>
      <c r="I23" s="355">
        <v>45888</v>
      </c>
      <c r="J23" s="149" t="s">
        <v>600</v>
      </c>
      <c r="K23" s="433" t="s">
        <v>456</v>
      </c>
      <c r="L23" s="435"/>
      <c r="M23" s="24" t="s">
        <v>459</v>
      </c>
      <c r="N23" s="360"/>
    </row>
    <row r="24" spans="1:14" ht="15.75">
      <c r="A24" s="364">
        <v>45885</v>
      </c>
      <c r="B24" s="438" t="s">
        <v>601</v>
      </c>
      <c r="C24" s="22" t="s">
        <v>475</v>
      </c>
      <c r="D24" s="22" t="s">
        <v>455</v>
      </c>
      <c r="E24" s="439" t="s">
        <v>572</v>
      </c>
      <c r="F24" s="38" t="s">
        <v>475</v>
      </c>
      <c r="G24" s="446" t="s">
        <v>455</v>
      </c>
      <c r="H24" s="447" t="s">
        <v>453</v>
      </c>
      <c r="I24" s="355">
        <v>45889</v>
      </c>
      <c r="J24" s="149" t="s">
        <v>73</v>
      </c>
      <c r="K24" s="433" t="s">
        <v>73</v>
      </c>
      <c r="L24" s="435" t="s">
        <v>34</v>
      </c>
      <c r="M24" s="24" t="s">
        <v>459</v>
      </c>
      <c r="N24" s="360"/>
    </row>
    <row r="25" spans="1:14" ht="15.75">
      <c r="A25" s="364">
        <v>45886</v>
      </c>
      <c r="B25" s="438" t="s">
        <v>466</v>
      </c>
      <c r="C25" s="22" t="s">
        <v>475</v>
      </c>
      <c r="D25" s="22" t="s">
        <v>476</v>
      </c>
      <c r="E25" s="439" t="s">
        <v>457</v>
      </c>
      <c r="F25" s="25"/>
      <c r="G25" s="446" t="s">
        <v>459</v>
      </c>
      <c r="H25" s="447" t="s">
        <v>72</v>
      </c>
      <c r="I25" s="355">
        <v>45890</v>
      </c>
      <c r="J25" s="149" t="s">
        <v>602</v>
      </c>
      <c r="K25" s="433" t="s">
        <v>34</v>
      </c>
      <c r="L25" s="435"/>
      <c r="M25" s="24" t="s">
        <v>459</v>
      </c>
      <c r="N25" s="360"/>
    </row>
    <row r="26" spans="1:14" ht="15.75">
      <c r="A26" s="364">
        <v>45887</v>
      </c>
      <c r="B26" s="438" t="s">
        <v>603</v>
      </c>
      <c r="C26" s="22" t="s">
        <v>475</v>
      </c>
      <c r="D26" s="22" t="s">
        <v>476</v>
      </c>
      <c r="E26" s="439" t="s">
        <v>457</v>
      </c>
      <c r="F26" s="36" t="s">
        <v>72</v>
      </c>
      <c r="G26" s="446" t="s">
        <v>459</v>
      </c>
      <c r="H26" s="447" t="s">
        <v>455</v>
      </c>
      <c r="I26" s="355">
        <v>45891</v>
      </c>
      <c r="J26" s="149" t="s">
        <v>456</v>
      </c>
      <c r="K26" s="433" t="s">
        <v>456</v>
      </c>
      <c r="L26" s="435"/>
      <c r="M26" s="24"/>
      <c r="N26" s="360"/>
    </row>
    <row r="27" spans="1:14" ht="15.75">
      <c r="A27" s="364">
        <v>45888</v>
      </c>
      <c r="B27" s="438" t="s">
        <v>572</v>
      </c>
      <c r="C27" s="22" t="s">
        <v>475</v>
      </c>
      <c r="D27" s="22" t="s">
        <v>476</v>
      </c>
      <c r="E27" s="439" t="s">
        <v>457</v>
      </c>
      <c r="F27" s="38" t="s">
        <v>475</v>
      </c>
      <c r="G27" s="446" t="s">
        <v>516</v>
      </c>
      <c r="H27" s="447" t="s">
        <v>436</v>
      </c>
      <c r="I27" s="355">
        <v>45892</v>
      </c>
      <c r="J27" s="149" t="s">
        <v>73</v>
      </c>
      <c r="K27" s="433" t="s">
        <v>73</v>
      </c>
      <c r="L27" s="435"/>
      <c r="M27" s="24"/>
      <c r="N27" s="360"/>
    </row>
    <row r="28" spans="1:14" ht="15.75">
      <c r="A28" s="364">
        <v>45889</v>
      </c>
      <c r="B28" s="438" t="s">
        <v>466</v>
      </c>
      <c r="C28" s="22" t="s">
        <v>475</v>
      </c>
      <c r="D28" s="22" t="s">
        <v>476</v>
      </c>
      <c r="E28" s="439" t="s">
        <v>457</v>
      </c>
      <c r="F28" s="38" t="s">
        <v>598</v>
      </c>
      <c r="G28" s="446" t="s">
        <v>475</v>
      </c>
      <c r="H28" s="447" t="s">
        <v>34</v>
      </c>
      <c r="I28" s="355">
        <v>45893</v>
      </c>
      <c r="J28" s="149" t="s">
        <v>34</v>
      </c>
      <c r="K28" s="433" t="s">
        <v>34</v>
      </c>
      <c r="L28" s="435"/>
      <c r="M28" s="24" t="s">
        <v>459</v>
      </c>
      <c r="N28" s="360"/>
    </row>
    <row r="29" spans="1:14" ht="15.75">
      <c r="A29" s="364">
        <v>45890</v>
      </c>
      <c r="B29" s="438" t="s">
        <v>466</v>
      </c>
      <c r="C29" s="22" t="s">
        <v>572</v>
      </c>
      <c r="D29" s="22" t="s">
        <v>476</v>
      </c>
      <c r="E29" s="439" t="s">
        <v>457</v>
      </c>
      <c r="F29" s="25" t="s">
        <v>72</v>
      </c>
      <c r="G29" s="456" t="s">
        <v>458</v>
      </c>
      <c r="H29" s="447" t="s">
        <v>446</v>
      </c>
      <c r="I29" s="355">
        <v>45894</v>
      </c>
      <c r="J29" s="149" t="s">
        <v>456</v>
      </c>
      <c r="K29" s="433" t="s">
        <v>456</v>
      </c>
      <c r="L29" s="435"/>
      <c r="M29" s="24" t="s">
        <v>459</v>
      </c>
      <c r="N29" s="360"/>
    </row>
    <row r="30" spans="1:14" ht="15.75">
      <c r="A30" s="364">
        <v>45891</v>
      </c>
      <c r="B30" s="438" t="s">
        <v>446</v>
      </c>
      <c r="C30" s="22" t="s">
        <v>436</v>
      </c>
      <c r="D30" s="22" t="s">
        <v>457</v>
      </c>
      <c r="E30" s="439" t="s">
        <v>476</v>
      </c>
      <c r="F30" s="36"/>
      <c r="G30" s="446" t="s">
        <v>436</v>
      </c>
      <c r="H30" s="447" t="s">
        <v>34</v>
      </c>
      <c r="I30" s="355">
        <v>45895</v>
      </c>
      <c r="J30" s="149" t="s">
        <v>449</v>
      </c>
      <c r="K30" s="433" t="s">
        <v>449</v>
      </c>
      <c r="L30" s="435"/>
      <c r="M30" s="24" t="s">
        <v>459</v>
      </c>
      <c r="N30" s="360"/>
    </row>
    <row r="31" spans="1:14" ht="15.75">
      <c r="A31" s="364">
        <v>45892</v>
      </c>
      <c r="B31" s="438" t="s">
        <v>572</v>
      </c>
      <c r="C31" s="22" t="s">
        <v>475</v>
      </c>
      <c r="D31" s="22" t="s">
        <v>455</v>
      </c>
      <c r="E31" s="439"/>
      <c r="F31" s="38" t="s">
        <v>475</v>
      </c>
      <c r="G31" s="446" t="s">
        <v>516</v>
      </c>
      <c r="H31" s="447" t="s">
        <v>455</v>
      </c>
      <c r="I31" s="355">
        <v>45896</v>
      </c>
      <c r="J31" s="149" t="s">
        <v>34</v>
      </c>
      <c r="K31" s="433" t="s">
        <v>34</v>
      </c>
      <c r="L31" s="435" t="s">
        <v>146</v>
      </c>
      <c r="M31" s="24" t="s">
        <v>459</v>
      </c>
      <c r="N31" s="360"/>
    </row>
    <row r="32" spans="1:14" ht="15.75">
      <c r="A32" s="364">
        <v>45893</v>
      </c>
      <c r="B32" s="438" t="s">
        <v>579</v>
      </c>
      <c r="C32" s="22" t="s">
        <v>475</v>
      </c>
      <c r="D32" s="22" t="s">
        <v>476</v>
      </c>
      <c r="E32" s="439" t="s">
        <v>457</v>
      </c>
      <c r="F32" s="38"/>
      <c r="G32" s="446" t="s">
        <v>459</v>
      </c>
      <c r="H32" s="447" t="s">
        <v>516</v>
      </c>
      <c r="I32" s="355">
        <v>45897</v>
      </c>
      <c r="J32" s="149" t="s">
        <v>456</v>
      </c>
      <c r="K32" s="433" t="s">
        <v>456</v>
      </c>
      <c r="L32" s="435"/>
      <c r="M32" s="24" t="s">
        <v>459</v>
      </c>
      <c r="N32" s="360"/>
    </row>
    <row r="33" spans="1:15" ht="15.75">
      <c r="A33" s="364">
        <v>45894</v>
      </c>
      <c r="B33" s="438" t="s">
        <v>579</v>
      </c>
      <c r="C33" s="22" t="s">
        <v>475</v>
      </c>
      <c r="D33" s="22" t="s">
        <v>476</v>
      </c>
      <c r="E33" s="439" t="s">
        <v>457</v>
      </c>
      <c r="F33" s="25" t="s">
        <v>72</v>
      </c>
      <c r="G33" s="446" t="s">
        <v>458</v>
      </c>
      <c r="H33" s="447" t="s">
        <v>455</v>
      </c>
      <c r="I33" s="355">
        <v>45898</v>
      </c>
      <c r="J33" s="149" t="s">
        <v>449</v>
      </c>
      <c r="K33" s="433" t="s">
        <v>449</v>
      </c>
      <c r="L33" s="435"/>
      <c r="M33" s="24"/>
      <c r="N33" s="360"/>
    </row>
    <row r="34" spans="1:15" ht="15.75">
      <c r="A34" s="364">
        <v>45895</v>
      </c>
      <c r="B34" s="438" t="s">
        <v>579</v>
      </c>
      <c r="C34" s="22" t="s">
        <v>475</v>
      </c>
      <c r="D34" s="22" t="s">
        <v>476</v>
      </c>
      <c r="E34" s="439" t="s">
        <v>457</v>
      </c>
      <c r="F34" s="36" t="s">
        <v>475</v>
      </c>
      <c r="G34" s="450" t="s">
        <v>446</v>
      </c>
      <c r="H34" s="447" t="s">
        <v>72</v>
      </c>
      <c r="I34" s="355">
        <v>45899</v>
      </c>
      <c r="J34" s="149" t="s">
        <v>604</v>
      </c>
      <c r="K34" s="433" t="s">
        <v>604</v>
      </c>
      <c r="L34" s="435"/>
      <c r="M34" s="24" t="s">
        <v>449</v>
      </c>
      <c r="N34" s="360"/>
    </row>
    <row r="35" spans="1:15" ht="15.75">
      <c r="A35" s="364">
        <v>45896</v>
      </c>
      <c r="B35" s="438" t="s">
        <v>579</v>
      </c>
      <c r="C35" s="22" t="s">
        <v>475</v>
      </c>
      <c r="D35" s="22" t="s">
        <v>476</v>
      </c>
      <c r="E35" s="439" t="s">
        <v>457</v>
      </c>
      <c r="F35" s="38" t="s">
        <v>598</v>
      </c>
      <c r="G35" s="446" t="s">
        <v>33</v>
      </c>
      <c r="H35" s="447" t="s">
        <v>449</v>
      </c>
      <c r="I35" s="355">
        <v>45900</v>
      </c>
      <c r="J35" s="457" t="s">
        <v>456</v>
      </c>
      <c r="K35" s="458" t="s">
        <v>456</v>
      </c>
      <c r="L35" s="459"/>
      <c r="M35" s="460"/>
      <c r="N35" s="405"/>
    </row>
    <row r="36" spans="1:15" ht="15.75">
      <c r="A36" s="364">
        <v>45897</v>
      </c>
      <c r="B36" s="438" t="s">
        <v>579</v>
      </c>
      <c r="C36" s="22" t="s">
        <v>163</v>
      </c>
      <c r="D36" s="22" t="s">
        <v>476</v>
      </c>
      <c r="E36" s="439"/>
      <c r="F36" s="38" t="s">
        <v>33</v>
      </c>
      <c r="G36" s="456" t="s">
        <v>163</v>
      </c>
      <c r="H36" s="435" t="s">
        <v>34</v>
      </c>
      <c r="I36" s="1332">
        <v>0</v>
      </c>
      <c r="J36" s="1333"/>
      <c r="K36" s="407" t="s">
        <v>542</v>
      </c>
      <c r="L36" s="407" t="s">
        <v>548</v>
      </c>
      <c r="M36" s="408" t="s">
        <v>549</v>
      </c>
      <c r="N36" s="298" t="s">
        <v>550</v>
      </c>
      <c r="O36" s="299" t="s">
        <v>479</v>
      </c>
    </row>
    <row r="37" spans="1:15" ht="15.75">
      <c r="A37" s="364">
        <v>45898</v>
      </c>
      <c r="B37" s="449" t="s">
        <v>449</v>
      </c>
      <c r="C37" s="454" t="s">
        <v>436</v>
      </c>
      <c r="D37" s="454" t="s">
        <v>457</v>
      </c>
      <c r="E37" s="455" t="s">
        <v>476</v>
      </c>
      <c r="F37" s="461" t="s">
        <v>72</v>
      </c>
      <c r="G37" s="450" t="s">
        <v>436</v>
      </c>
      <c r="H37" s="444"/>
      <c r="I37" s="301" t="s">
        <v>605</v>
      </c>
      <c r="J37" s="302"/>
      <c r="K37" s="303" t="s">
        <v>606</v>
      </c>
      <c r="L37" s="304"/>
      <c r="M37" s="305"/>
      <c r="N37" s="306"/>
      <c r="O37" s="307" t="s">
        <v>607</v>
      </c>
    </row>
    <row r="38" spans="1:15" ht="15.75">
      <c r="A38" s="364">
        <v>45899</v>
      </c>
      <c r="B38" s="438" t="s">
        <v>572</v>
      </c>
      <c r="C38" s="22" t="s">
        <v>475</v>
      </c>
      <c r="D38" s="22" t="s">
        <v>455</v>
      </c>
      <c r="E38" s="439"/>
      <c r="F38" s="25" t="s">
        <v>475</v>
      </c>
      <c r="G38" s="440" t="s">
        <v>455</v>
      </c>
      <c r="H38" s="434" t="s">
        <v>446</v>
      </c>
      <c r="I38" s="1328" t="s">
        <v>213</v>
      </c>
      <c r="J38" s="1384"/>
      <c r="K38" s="315"/>
      <c r="L38" s="316"/>
      <c r="M38" s="317"/>
      <c r="N38" s="318"/>
      <c r="O38" s="319"/>
    </row>
    <row r="39" spans="1:15" ht="15.75">
      <c r="A39" s="414">
        <v>45900</v>
      </c>
      <c r="B39" s="462" t="s">
        <v>572</v>
      </c>
      <c r="C39" s="463" t="s">
        <v>475</v>
      </c>
      <c r="D39" s="463" t="s">
        <v>476</v>
      </c>
      <c r="E39" s="464" t="s">
        <v>457</v>
      </c>
      <c r="F39" s="347" t="s">
        <v>598</v>
      </c>
      <c r="G39" s="465" t="s">
        <v>436</v>
      </c>
      <c r="H39" s="459" t="s">
        <v>449</v>
      </c>
      <c r="I39" s="1328" t="s">
        <v>552</v>
      </c>
      <c r="J39" s="1384"/>
      <c r="K39" s="315"/>
      <c r="L39" s="316"/>
      <c r="M39" s="317"/>
      <c r="N39" s="318"/>
      <c r="O39" s="319"/>
    </row>
    <row r="40" spans="1:15">
      <c r="I40" s="1328" t="s">
        <v>212</v>
      </c>
      <c r="J40" s="1384"/>
      <c r="K40" s="315"/>
      <c r="L40" s="316"/>
      <c r="M40" s="317"/>
      <c r="N40" s="318"/>
      <c r="O40" s="319"/>
    </row>
    <row r="41" spans="1:15">
      <c r="I41" s="1382" t="s">
        <v>565</v>
      </c>
      <c r="J41" s="1383"/>
      <c r="K41" s="322"/>
      <c r="L41" s="316"/>
      <c r="M41" s="317"/>
      <c r="N41" s="318"/>
      <c r="O41" s="319" t="s">
        <v>607</v>
      </c>
    </row>
    <row r="42" spans="1:15">
      <c r="I42" s="1326" t="s">
        <v>566</v>
      </c>
      <c r="J42" s="1327"/>
      <c r="K42" s="315"/>
      <c r="L42" s="316"/>
      <c r="M42" s="317"/>
      <c r="N42" s="318"/>
      <c r="O42" s="319"/>
    </row>
    <row r="43" spans="1:15">
      <c r="I43" s="1322" t="s">
        <v>567</v>
      </c>
      <c r="J43" s="1323"/>
      <c r="K43" s="315"/>
      <c r="L43" s="316"/>
      <c r="M43" s="317"/>
      <c r="N43" s="318"/>
      <c r="O43" s="319" t="s">
        <v>607</v>
      </c>
    </row>
    <row r="44" spans="1:15">
      <c r="I44" s="1322" t="s">
        <v>568</v>
      </c>
      <c r="J44" s="1323"/>
      <c r="K44" s="315"/>
      <c r="L44" s="316"/>
      <c r="M44" s="317"/>
      <c r="N44" s="318"/>
      <c r="O44" s="319" t="s">
        <v>607</v>
      </c>
    </row>
    <row r="45" spans="1:15">
      <c r="I45" s="1322" t="s">
        <v>569</v>
      </c>
      <c r="J45" s="1323"/>
      <c r="K45" s="315"/>
      <c r="L45" s="316"/>
      <c r="M45" s="317"/>
      <c r="N45" s="318"/>
      <c r="O45" s="319"/>
    </row>
    <row r="46" spans="1:15">
      <c r="I46" s="1322" t="s">
        <v>558</v>
      </c>
      <c r="J46" s="1323"/>
      <c r="K46" s="322"/>
      <c r="L46" s="330"/>
      <c r="M46" s="317"/>
      <c r="N46" s="318"/>
      <c r="O46" s="319"/>
    </row>
    <row r="47" spans="1:15">
      <c r="I47" s="1322" t="s">
        <v>222</v>
      </c>
      <c r="J47" s="1323"/>
      <c r="K47" s="315"/>
      <c r="L47" s="316"/>
      <c r="M47" s="317"/>
      <c r="N47" s="318"/>
      <c r="O47" s="319"/>
    </row>
    <row r="48" spans="1:15">
      <c r="I48" s="1322" t="s">
        <v>559</v>
      </c>
      <c r="J48" s="1323"/>
      <c r="K48" s="315"/>
      <c r="L48" s="316"/>
      <c r="M48" s="317"/>
      <c r="N48" s="318"/>
      <c r="O48" s="319"/>
    </row>
    <row r="49" spans="9:15">
      <c r="I49" s="197" t="s">
        <v>560</v>
      </c>
      <c r="J49" s="326"/>
      <c r="K49" s="315"/>
      <c r="L49" s="316"/>
      <c r="M49" s="317"/>
      <c r="N49" s="318"/>
      <c r="O49" s="319"/>
    </row>
    <row r="50" spans="9:15">
      <c r="I50" s="197" t="s">
        <v>561</v>
      </c>
      <c r="J50" s="326"/>
      <c r="K50" s="331"/>
      <c r="L50" s="332"/>
      <c r="M50" s="333"/>
      <c r="N50" s="334"/>
      <c r="O50" s="335"/>
    </row>
    <row r="51" spans="9:15">
      <c r="I51" s="1322" t="s">
        <v>574</v>
      </c>
      <c r="J51" s="1323"/>
      <c r="K51" s="322"/>
      <c r="L51" s="317"/>
      <c r="M51" s="317"/>
      <c r="N51" s="318"/>
      <c r="O51" s="319"/>
    </row>
    <row r="52" spans="9:15">
      <c r="I52" s="1308"/>
      <c r="J52" s="1309"/>
      <c r="K52" s="337"/>
      <c r="L52" s="338"/>
      <c r="M52" s="338"/>
      <c r="N52" s="339"/>
      <c r="O52" s="340"/>
    </row>
  </sheetData>
  <mergeCells count="25">
    <mergeCell ref="I1:M1"/>
    <mergeCell ref="I2:M2"/>
    <mergeCell ref="J3:K3"/>
    <mergeCell ref="I47:J47"/>
    <mergeCell ref="C5:D5"/>
    <mergeCell ref="G8:H8"/>
    <mergeCell ref="I38:J38"/>
    <mergeCell ref="I39:J39"/>
    <mergeCell ref="I40:J40"/>
    <mergeCell ref="I48:J48"/>
    <mergeCell ref="I51:J51"/>
    <mergeCell ref="I52:J52"/>
    <mergeCell ref="A1:A4"/>
    <mergeCell ref="A6:A8"/>
    <mergeCell ref="I3:I4"/>
    <mergeCell ref="B6:E7"/>
    <mergeCell ref="F6:H7"/>
    <mergeCell ref="B1:G4"/>
    <mergeCell ref="I42:J42"/>
    <mergeCell ref="I43:J43"/>
    <mergeCell ref="I44:J44"/>
    <mergeCell ref="I45:J45"/>
    <mergeCell ref="I46:J46"/>
    <mergeCell ref="I36:J36"/>
    <mergeCell ref="I41:J41"/>
  </mergeCells>
  <pageMargins left="0" right="0" top="0" bottom="0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3"/>
  <sheetViews>
    <sheetView topLeftCell="A17" workbookViewId="0">
      <selection activeCell="T31" sqref="T31"/>
    </sheetView>
  </sheetViews>
  <sheetFormatPr baseColWidth="10" defaultColWidth="11" defaultRowHeight="15"/>
  <cols>
    <col min="1" max="1" width="29.85546875" customWidth="1"/>
    <col min="2" max="2" width="9.7109375" customWidth="1"/>
    <col min="3" max="5" width="8" customWidth="1"/>
    <col min="6" max="6" width="7.7109375" customWidth="1"/>
    <col min="7" max="7" width="3" customWidth="1"/>
    <col min="8" max="8" width="8.5703125" customWidth="1"/>
    <col min="9" max="9" width="2.7109375" customWidth="1"/>
    <col min="10" max="10" width="9.42578125" customWidth="1"/>
    <col min="11" max="11" width="2.85546875" customWidth="1"/>
    <col min="12" max="12" width="29" customWidth="1"/>
  </cols>
  <sheetData>
    <row r="1" spans="1:17" ht="18.75">
      <c r="A1" s="1083"/>
      <c r="B1" s="1090" t="s">
        <v>608</v>
      </c>
      <c r="C1" s="1090"/>
      <c r="D1" s="1090"/>
      <c r="E1" s="1090"/>
      <c r="F1" s="1090"/>
      <c r="G1" s="1090"/>
      <c r="H1" s="1090"/>
      <c r="I1" s="352"/>
      <c r="J1" s="352"/>
      <c r="L1" s="1348" t="s">
        <v>539</v>
      </c>
      <c r="M1" s="1348"/>
      <c r="N1" s="1348"/>
      <c r="O1" s="1348"/>
      <c r="P1" s="1348"/>
    </row>
    <row r="2" spans="1:17" ht="18.75">
      <c r="A2" s="1083"/>
      <c r="B2" s="1090"/>
      <c r="C2" s="1090"/>
      <c r="D2" s="1090"/>
      <c r="E2" s="1090"/>
      <c r="F2" s="1090"/>
      <c r="G2" s="1090"/>
      <c r="H2" s="1090"/>
      <c r="I2" s="352"/>
      <c r="J2" s="352"/>
      <c r="L2" s="1349" t="s">
        <v>609</v>
      </c>
      <c r="M2" s="1349"/>
      <c r="N2" s="1350"/>
      <c r="O2" s="1350"/>
      <c r="P2" s="1350"/>
      <c r="Q2" s="353"/>
    </row>
    <row r="3" spans="1:17" ht="18.75">
      <c r="A3" s="1083"/>
      <c r="B3" s="1090"/>
      <c r="C3" s="1090"/>
      <c r="D3" s="1090"/>
      <c r="E3" s="1090"/>
      <c r="F3" s="1090"/>
      <c r="G3" s="1090"/>
      <c r="H3" s="1090"/>
      <c r="I3" s="352"/>
      <c r="J3" s="352"/>
      <c r="L3" s="3"/>
      <c r="M3" s="1358" t="s">
        <v>5</v>
      </c>
      <c r="N3" s="1359"/>
      <c r="O3" s="286" t="s">
        <v>6</v>
      </c>
      <c r="P3" s="286" t="s">
        <v>434</v>
      </c>
      <c r="Q3" s="354"/>
    </row>
    <row r="4" spans="1:17" ht="23.25" hidden="1" customHeight="1">
      <c r="A4" s="1126">
        <v>2025</v>
      </c>
      <c r="B4" s="1126"/>
      <c r="C4" s="1126"/>
      <c r="D4" s="1126"/>
      <c r="E4" s="1126"/>
      <c r="F4" s="1126"/>
      <c r="G4" s="1126"/>
      <c r="H4" s="1126"/>
      <c r="I4" s="1126"/>
      <c r="J4" s="1126"/>
      <c r="K4" s="1393"/>
      <c r="L4" s="355">
        <v>45901</v>
      </c>
      <c r="M4" s="356"/>
      <c r="N4" s="357" t="s">
        <v>146</v>
      </c>
      <c r="O4" s="358"/>
      <c r="P4" s="359" t="s">
        <v>130</v>
      </c>
      <c r="Q4" s="360"/>
    </row>
    <row r="5" spans="1:17" ht="15.75">
      <c r="A5" s="1355" t="s">
        <v>2</v>
      </c>
      <c r="B5" s="1385" t="s">
        <v>543</v>
      </c>
      <c r="C5" s="1385"/>
      <c r="D5" s="1385"/>
      <c r="E5" s="1386"/>
      <c r="F5" s="1389" t="s">
        <v>544</v>
      </c>
      <c r="G5" s="1385"/>
      <c r="H5" s="1385"/>
      <c r="I5" s="1385"/>
      <c r="J5" s="1385"/>
      <c r="K5" s="1386"/>
      <c r="L5" s="355">
        <v>45901</v>
      </c>
      <c r="M5" s="106"/>
      <c r="N5" s="294" t="s">
        <v>146</v>
      </c>
      <c r="O5" s="361"/>
      <c r="P5" s="294" t="s">
        <v>130</v>
      </c>
      <c r="Q5" s="360"/>
    </row>
    <row r="6" spans="1:17" ht="15.75">
      <c r="A6" s="1356"/>
      <c r="B6" s="1387"/>
      <c r="C6" s="1387"/>
      <c r="D6" s="1387"/>
      <c r="E6" s="1388"/>
      <c r="F6" s="1390"/>
      <c r="G6" s="1391"/>
      <c r="H6" s="1391"/>
      <c r="I6" s="1391"/>
      <c r="J6" s="1391"/>
      <c r="K6" s="1392"/>
      <c r="L6" s="355">
        <v>45902</v>
      </c>
      <c r="M6" s="158"/>
      <c r="N6" s="108" t="s">
        <v>17</v>
      </c>
      <c r="O6" s="362"/>
      <c r="P6" s="108" t="s">
        <v>146</v>
      </c>
      <c r="Q6" s="360"/>
    </row>
    <row r="7" spans="1:17" ht="15.75">
      <c r="A7" s="1357"/>
      <c r="B7" s="283" t="s">
        <v>8</v>
      </c>
      <c r="C7" s="284" t="s">
        <v>9</v>
      </c>
      <c r="D7" s="284" t="s">
        <v>10</v>
      </c>
      <c r="E7" s="285" t="s">
        <v>7</v>
      </c>
      <c r="F7" s="363" t="s">
        <v>545</v>
      </c>
      <c r="G7" s="238" t="s">
        <v>610</v>
      </c>
      <c r="H7" s="289" t="s">
        <v>546</v>
      </c>
      <c r="I7" s="290" t="s">
        <v>610</v>
      </c>
      <c r="J7" s="289" t="s">
        <v>546</v>
      </c>
      <c r="K7" s="291" t="s">
        <v>610</v>
      </c>
      <c r="L7" s="355">
        <v>45903</v>
      </c>
      <c r="M7" s="158"/>
      <c r="N7" s="108" t="s">
        <v>130</v>
      </c>
      <c r="O7" s="362"/>
      <c r="P7" s="108" t="s">
        <v>17</v>
      </c>
      <c r="Q7" s="360"/>
    </row>
    <row r="8" spans="1:17" ht="15.75">
      <c r="A8" s="364">
        <v>45901</v>
      </c>
      <c r="B8" s="365" t="s">
        <v>579</v>
      </c>
      <c r="C8" s="366" t="s">
        <v>129</v>
      </c>
      <c r="D8" s="366" t="s">
        <v>14</v>
      </c>
      <c r="E8" s="367" t="s">
        <v>33</v>
      </c>
      <c r="F8" s="368" t="s">
        <v>163</v>
      </c>
      <c r="G8" s="369" t="s">
        <v>611</v>
      </c>
      <c r="H8" s="365" t="s">
        <v>109</v>
      </c>
      <c r="I8" s="370" t="s">
        <v>612</v>
      </c>
      <c r="J8" s="368" t="s">
        <v>17</v>
      </c>
      <c r="K8" s="370" t="s">
        <v>613</v>
      </c>
      <c r="L8" s="355">
        <v>45904</v>
      </c>
      <c r="M8" s="158"/>
      <c r="N8" s="108" t="s">
        <v>146</v>
      </c>
      <c r="O8" s="362"/>
      <c r="P8" s="108" t="s">
        <v>130</v>
      </c>
      <c r="Q8" s="360"/>
    </row>
    <row r="9" spans="1:17" ht="15.75">
      <c r="A9" s="364">
        <v>45902</v>
      </c>
      <c r="B9" s="371" t="s">
        <v>579</v>
      </c>
      <c r="C9" s="104" t="s">
        <v>129</v>
      </c>
      <c r="D9" s="104" t="s">
        <v>14</v>
      </c>
      <c r="E9" s="166" t="s">
        <v>33</v>
      </c>
      <c r="F9" s="372"/>
      <c r="G9" s="369" t="s">
        <v>613</v>
      </c>
      <c r="H9" s="372" t="s">
        <v>129</v>
      </c>
      <c r="I9" s="370" t="s">
        <v>611</v>
      </c>
      <c r="J9" s="372"/>
      <c r="K9" s="373" t="s">
        <v>612</v>
      </c>
      <c r="L9" s="355">
        <v>45905</v>
      </c>
      <c r="M9" s="374"/>
      <c r="N9" s="375" t="s">
        <v>17</v>
      </c>
      <c r="O9" s="376"/>
      <c r="P9" s="375" t="s">
        <v>146</v>
      </c>
      <c r="Q9" s="377"/>
    </row>
    <row r="10" spans="1:17" ht="15.75">
      <c r="A10" s="364">
        <v>45903</v>
      </c>
      <c r="B10" s="371" t="s">
        <v>579</v>
      </c>
      <c r="C10" s="104" t="s">
        <v>129</v>
      </c>
      <c r="D10" s="104" t="s">
        <v>14</v>
      </c>
      <c r="E10" s="166" t="s">
        <v>33</v>
      </c>
      <c r="F10" s="323"/>
      <c r="G10" s="369" t="s">
        <v>612</v>
      </c>
      <c r="H10" s="323" t="s">
        <v>17</v>
      </c>
      <c r="I10" s="370" t="s">
        <v>613</v>
      </c>
      <c r="J10" s="323" t="s">
        <v>33</v>
      </c>
      <c r="K10" s="370" t="s">
        <v>611</v>
      </c>
      <c r="L10" s="355">
        <v>45906</v>
      </c>
      <c r="M10" s="158"/>
      <c r="N10" s="108" t="s">
        <v>130</v>
      </c>
      <c r="O10" s="362"/>
      <c r="P10" s="108" t="s">
        <v>17</v>
      </c>
      <c r="Q10" s="360"/>
    </row>
    <row r="11" spans="1:17" ht="15.75">
      <c r="A11" s="364">
        <v>45904</v>
      </c>
      <c r="B11" s="371" t="s">
        <v>17</v>
      </c>
      <c r="C11" s="104" t="s">
        <v>579</v>
      </c>
      <c r="D11" s="104" t="s">
        <v>14</v>
      </c>
      <c r="E11" s="166" t="s">
        <v>33</v>
      </c>
      <c r="F11" s="323"/>
      <c r="G11" s="369" t="s">
        <v>611</v>
      </c>
      <c r="H11" s="323" t="s">
        <v>185</v>
      </c>
      <c r="I11" s="370" t="s">
        <v>612</v>
      </c>
      <c r="J11" s="323" t="s">
        <v>163</v>
      </c>
      <c r="K11" s="370" t="s">
        <v>613</v>
      </c>
      <c r="L11" s="355">
        <v>45907</v>
      </c>
      <c r="M11" s="158"/>
      <c r="N11" s="108" t="s">
        <v>146</v>
      </c>
      <c r="O11" s="362"/>
      <c r="P11" s="108" t="s">
        <v>21</v>
      </c>
      <c r="Q11" s="360"/>
    </row>
    <row r="12" spans="1:17" ht="15.75">
      <c r="A12" s="364">
        <v>45905</v>
      </c>
      <c r="B12" s="378" t="s">
        <v>130</v>
      </c>
      <c r="C12" s="379" t="s">
        <v>163</v>
      </c>
      <c r="D12" s="379" t="s">
        <v>33</v>
      </c>
      <c r="E12" s="380" t="s">
        <v>14</v>
      </c>
      <c r="F12" s="381" t="s">
        <v>33</v>
      </c>
      <c r="G12" s="382" t="s">
        <v>613</v>
      </c>
      <c r="H12" s="381" t="s">
        <v>163</v>
      </c>
      <c r="I12" s="383" t="s">
        <v>611</v>
      </c>
      <c r="J12" s="381"/>
      <c r="K12" s="370" t="s">
        <v>612</v>
      </c>
      <c r="L12" s="355">
        <v>45908</v>
      </c>
      <c r="M12" s="158"/>
      <c r="N12" s="108" t="s">
        <v>17</v>
      </c>
      <c r="O12" s="362"/>
      <c r="P12" s="108" t="s">
        <v>146</v>
      </c>
      <c r="Q12" s="360"/>
    </row>
    <row r="13" spans="1:17" ht="15.75">
      <c r="A13" s="364">
        <v>45906</v>
      </c>
      <c r="B13" s="384" t="s">
        <v>579</v>
      </c>
      <c r="C13" s="104" t="s">
        <v>129</v>
      </c>
      <c r="D13" s="104" t="s">
        <v>109</v>
      </c>
      <c r="E13" s="166"/>
      <c r="F13" s="385" t="s">
        <v>129</v>
      </c>
      <c r="G13" s="386" t="s">
        <v>612</v>
      </c>
      <c r="H13" s="372" t="s">
        <v>109</v>
      </c>
      <c r="I13" s="373" t="s">
        <v>613</v>
      </c>
      <c r="J13" s="372" t="s">
        <v>403</v>
      </c>
      <c r="K13" s="370" t="s">
        <v>611</v>
      </c>
      <c r="L13" s="355">
        <v>45909</v>
      </c>
      <c r="M13" s="158"/>
      <c r="N13" s="108" t="s">
        <v>130</v>
      </c>
      <c r="O13" s="362"/>
      <c r="P13" s="108" t="s">
        <v>17</v>
      </c>
      <c r="Q13" s="360"/>
    </row>
    <row r="14" spans="1:17" ht="15.75">
      <c r="A14" s="364">
        <v>45907</v>
      </c>
      <c r="B14" s="384" t="s">
        <v>579</v>
      </c>
      <c r="C14" s="104" t="s">
        <v>129</v>
      </c>
      <c r="D14" s="104" t="s">
        <v>33</v>
      </c>
      <c r="E14" s="166" t="s">
        <v>614</v>
      </c>
      <c r="F14" s="387" t="s">
        <v>33</v>
      </c>
      <c r="G14" s="369" t="s">
        <v>611</v>
      </c>
      <c r="H14" s="323" t="s">
        <v>17</v>
      </c>
      <c r="I14" s="388" t="s">
        <v>612</v>
      </c>
      <c r="J14" s="323" t="s">
        <v>614</v>
      </c>
      <c r="K14" s="373" t="s">
        <v>613</v>
      </c>
      <c r="L14" s="355">
        <v>45910</v>
      </c>
      <c r="M14" s="158"/>
      <c r="N14" s="108" t="s">
        <v>146</v>
      </c>
      <c r="O14" s="362"/>
      <c r="P14" s="108" t="s">
        <v>130</v>
      </c>
      <c r="Q14" s="360"/>
    </row>
    <row r="15" spans="1:17" ht="15.75">
      <c r="A15" s="364">
        <v>45908</v>
      </c>
      <c r="B15" s="384" t="s">
        <v>17</v>
      </c>
      <c r="C15" s="104" t="s">
        <v>129</v>
      </c>
      <c r="D15" s="104" t="s">
        <v>33</v>
      </c>
      <c r="E15" s="389"/>
      <c r="F15" s="323" t="s">
        <v>163</v>
      </c>
      <c r="G15" s="390" t="s">
        <v>613</v>
      </c>
      <c r="H15" s="323" t="s">
        <v>109</v>
      </c>
      <c r="I15" s="370" t="s">
        <v>611</v>
      </c>
      <c r="J15" s="323" t="s">
        <v>161</v>
      </c>
      <c r="K15" s="388" t="s">
        <v>612</v>
      </c>
      <c r="L15" s="355">
        <v>45911</v>
      </c>
      <c r="M15" s="158"/>
      <c r="N15" s="108" t="s">
        <v>17</v>
      </c>
      <c r="O15" s="362"/>
      <c r="P15" s="108" t="s">
        <v>146</v>
      </c>
      <c r="Q15" s="360"/>
    </row>
    <row r="16" spans="1:17" ht="15.75">
      <c r="A16" s="364">
        <v>45909</v>
      </c>
      <c r="B16" s="384" t="s">
        <v>17</v>
      </c>
      <c r="C16" s="104" t="s">
        <v>129</v>
      </c>
      <c r="D16" s="104" t="s">
        <v>33</v>
      </c>
      <c r="E16" s="389"/>
      <c r="F16" s="372"/>
      <c r="G16" s="386" t="s">
        <v>612</v>
      </c>
      <c r="H16" s="372" t="s">
        <v>163</v>
      </c>
      <c r="I16" s="373" t="s">
        <v>613</v>
      </c>
      <c r="J16" s="372" t="s">
        <v>17</v>
      </c>
      <c r="K16" s="370" t="s">
        <v>611</v>
      </c>
      <c r="L16" s="355">
        <v>45912</v>
      </c>
      <c r="M16" s="374"/>
      <c r="N16" s="375" t="s">
        <v>130</v>
      </c>
      <c r="O16" s="376"/>
      <c r="P16" s="375"/>
      <c r="Q16" s="377"/>
    </row>
    <row r="17" spans="1:17" ht="15.75">
      <c r="A17" s="364">
        <v>45910</v>
      </c>
      <c r="B17" s="384" t="s">
        <v>614</v>
      </c>
      <c r="C17" s="104" t="s">
        <v>129</v>
      </c>
      <c r="D17" s="104" t="s">
        <v>33</v>
      </c>
      <c r="E17" s="389"/>
      <c r="F17" s="385" t="s">
        <v>33</v>
      </c>
      <c r="G17" s="369" t="s">
        <v>611</v>
      </c>
      <c r="H17" s="372" t="s">
        <v>129</v>
      </c>
      <c r="I17" s="388" t="s">
        <v>612</v>
      </c>
      <c r="J17" s="372" t="s">
        <v>403</v>
      </c>
      <c r="K17" s="373" t="s">
        <v>613</v>
      </c>
      <c r="L17" s="355">
        <v>45913</v>
      </c>
      <c r="M17" s="158" t="s">
        <v>21</v>
      </c>
      <c r="N17" s="108" t="s">
        <v>17</v>
      </c>
      <c r="O17" s="362"/>
      <c r="P17" s="108" t="s">
        <v>130</v>
      </c>
      <c r="Q17" s="360"/>
    </row>
    <row r="18" spans="1:17" ht="15.75">
      <c r="A18" s="364">
        <v>45911</v>
      </c>
      <c r="B18" s="384" t="s">
        <v>614</v>
      </c>
      <c r="C18" s="391" t="s">
        <v>33</v>
      </c>
      <c r="D18" s="104"/>
      <c r="E18" s="389"/>
      <c r="F18" s="387"/>
      <c r="G18" s="390" t="s">
        <v>613</v>
      </c>
      <c r="H18" s="323" t="s">
        <v>161</v>
      </c>
      <c r="I18" s="370" t="s">
        <v>611</v>
      </c>
      <c r="J18" s="323" t="s">
        <v>33</v>
      </c>
      <c r="K18" s="388" t="s">
        <v>612</v>
      </c>
      <c r="L18" s="355">
        <v>45914</v>
      </c>
      <c r="M18" s="158"/>
      <c r="N18" s="108" t="s">
        <v>146</v>
      </c>
      <c r="O18" s="362"/>
      <c r="P18" s="392" t="s">
        <v>110</v>
      </c>
      <c r="Q18" s="360"/>
    </row>
    <row r="19" spans="1:17" ht="15.75">
      <c r="A19" s="364">
        <v>45912</v>
      </c>
      <c r="B19" s="393" t="s">
        <v>163</v>
      </c>
      <c r="C19" s="394" t="s">
        <v>17</v>
      </c>
      <c r="D19" s="379" t="s">
        <v>33</v>
      </c>
      <c r="E19" s="395"/>
      <c r="F19" s="308"/>
      <c r="G19" s="396" t="s">
        <v>612</v>
      </c>
      <c r="H19" s="308" t="s">
        <v>17</v>
      </c>
      <c r="I19" s="397" t="s">
        <v>613</v>
      </c>
      <c r="J19" s="308" t="s">
        <v>516</v>
      </c>
      <c r="K19" s="370" t="s">
        <v>611</v>
      </c>
      <c r="L19" s="355">
        <v>45915</v>
      </c>
      <c r="M19" s="158"/>
      <c r="N19" s="108" t="s">
        <v>130</v>
      </c>
      <c r="O19" s="362"/>
      <c r="P19" s="392" t="s">
        <v>110</v>
      </c>
      <c r="Q19" s="360"/>
    </row>
    <row r="20" spans="1:17" ht="15.75">
      <c r="A20" s="364">
        <v>45913</v>
      </c>
      <c r="B20" s="371" t="s">
        <v>42</v>
      </c>
      <c r="C20" s="391" t="s">
        <v>129</v>
      </c>
      <c r="D20" s="391" t="s">
        <v>109</v>
      </c>
      <c r="E20" s="389"/>
      <c r="F20" s="323" t="s">
        <v>516</v>
      </c>
      <c r="G20" s="369" t="s">
        <v>611</v>
      </c>
      <c r="H20" s="323" t="s">
        <v>109</v>
      </c>
      <c r="I20" s="388" t="s">
        <v>612</v>
      </c>
      <c r="J20" s="323" t="s">
        <v>163</v>
      </c>
      <c r="K20" s="373" t="s">
        <v>613</v>
      </c>
      <c r="L20" s="355">
        <v>45916</v>
      </c>
      <c r="M20" s="158" t="s">
        <v>146</v>
      </c>
      <c r="N20" s="108" t="s">
        <v>17</v>
      </c>
      <c r="O20" s="362"/>
      <c r="P20" s="392" t="s">
        <v>110</v>
      </c>
      <c r="Q20" s="360"/>
    </row>
    <row r="21" spans="1:17" ht="15.75">
      <c r="A21" s="364">
        <v>45914</v>
      </c>
      <c r="B21" s="371" t="s">
        <v>42</v>
      </c>
      <c r="C21" s="391" t="s">
        <v>129</v>
      </c>
      <c r="D21" s="391" t="s">
        <v>33</v>
      </c>
      <c r="E21" s="389"/>
      <c r="F21" s="385" t="s">
        <v>33</v>
      </c>
      <c r="G21" s="390" t="s">
        <v>613</v>
      </c>
      <c r="H21" s="372" t="s">
        <v>110</v>
      </c>
      <c r="I21" s="370" t="s">
        <v>611</v>
      </c>
      <c r="J21" s="372" t="s">
        <v>403</v>
      </c>
      <c r="K21" s="388" t="s">
        <v>612</v>
      </c>
      <c r="L21" s="355">
        <v>45917</v>
      </c>
      <c r="M21" s="158"/>
      <c r="N21" s="108" t="s">
        <v>146</v>
      </c>
      <c r="O21" s="362" t="s">
        <v>17</v>
      </c>
      <c r="P21" s="392" t="s">
        <v>110</v>
      </c>
      <c r="Q21" s="360"/>
    </row>
    <row r="22" spans="1:17" ht="15.75">
      <c r="A22" s="364">
        <v>45915</v>
      </c>
      <c r="B22" s="371" t="s">
        <v>42</v>
      </c>
      <c r="C22" s="391" t="s">
        <v>129</v>
      </c>
      <c r="D22" s="391" t="s">
        <v>33</v>
      </c>
      <c r="E22" s="166"/>
      <c r="F22" s="387" t="s">
        <v>33</v>
      </c>
      <c r="G22" s="386" t="s">
        <v>612</v>
      </c>
      <c r="H22" s="323" t="s">
        <v>110</v>
      </c>
      <c r="I22" s="373" t="s">
        <v>613</v>
      </c>
      <c r="J22" s="323" t="s">
        <v>161</v>
      </c>
      <c r="K22" s="370" t="s">
        <v>611</v>
      </c>
      <c r="L22" s="355">
        <v>45918</v>
      </c>
      <c r="M22" s="158"/>
      <c r="N22" s="108" t="s">
        <v>130</v>
      </c>
      <c r="O22" s="362"/>
      <c r="P22" s="392"/>
      <c r="Q22" s="360"/>
    </row>
    <row r="23" spans="1:17" ht="15.75">
      <c r="A23" s="364">
        <v>45916</v>
      </c>
      <c r="B23" s="371" t="s">
        <v>17</v>
      </c>
      <c r="C23" s="391" t="s">
        <v>129</v>
      </c>
      <c r="D23" s="391" t="s">
        <v>33</v>
      </c>
      <c r="E23" s="166"/>
      <c r="F23" s="323" t="s">
        <v>33</v>
      </c>
      <c r="G23" s="369" t="s">
        <v>611</v>
      </c>
      <c r="H23" s="323" t="s">
        <v>109</v>
      </c>
      <c r="I23" s="388" t="s">
        <v>612</v>
      </c>
      <c r="J23" s="323" t="s">
        <v>17</v>
      </c>
      <c r="K23" s="373" t="s">
        <v>613</v>
      </c>
      <c r="L23" s="355">
        <v>45919</v>
      </c>
      <c r="M23" s="374"/>
      <c r="N23" s="375" t="s">
        <v>146</v>
      </c>
      <c r="O23" s="376"/>
      <c r="P23" s="398"/>
      <c r="Q23" s="377"/>
    </row>
    <row r="24" spans="1:17" ht="15.75">
      <c r="A24" s="364">
        <v>45917</v>
      </c>
      <c r="B24" s="371" t="s">
        <v>42</v>
      </c>
      <c r="C24" s="391" t="s">
        <v>129</v>
      </c>
      <c r="D24" s="391" t="s">
        <v>33</v>
      </c>
      <c r="E24" s="166" t="s">
        <v>17</v>
      </c>
      <c r="F24" s="372" t="s">
        <v>163</v>
      </c>
      <c r="G24" s="390" t="s">
        <v>613</v>
      </c>
      <c r="H24" s="372" t="s">
        <v>129</v>
      </c>
      <c r="I24" s="370" t="s">
        <v>611</v>
      </c>
      <c r="J24" s="372" t="s">
        <v>17</v>
      </c>
      <c r="K24" s="388" t="s">
        <v>612</v>
      </c>
      <c r="L24" s="355">
        <v>45920</v>
      </c>
      <c r="M24" s="158" t="s">
        <v>21</v>
      </c>
      <c r="N24" s="108" t="s">
        <v>17</v>
      </c>
      <c r="O24" s="362"/>
      <c r="P24" s="392" t="s">
        <v>110</v>
      </c>
      <c r="Q24" s="360"/>
    </row>
    <row r="25" spans="1:17" ht="15.75">
      <c r="A25" s="364">
        <v>45918</v>
      </c>
      <c r="B25" s="371" t="s">
        <v>42</v>
      </c>
      <c r="C25" s="104" t="s">
        <v>21</v>
      </c>
      <c r="D25" s="391" t="s">
        <v>33</v>
      </c>
      <c r="E25" s="166"/>
      <c r="F25" s="385" t="s">
        <v>33</v>
      </c>
      <c r="G25" s="386" t="s">
        <v>612</v>
      </c>
      <c r="H25" s="372" t="s">
        <v>161</v>
      </c>
      <c r="I25" s="373" t="s">
        <v>613</v>
      </c>
      <c r="J25" s="372" t="s">
        <v>403</v>
      </c>
      <c r="K25" s="370" t="s">
        <v>611</v>
      </c>
      <c r="L25" s="355">
        <v>45921</v>
      </c>
      <c r="M25" s="158" t="s">
        <v>21</v>
      </c>
      <c r="N25" s="108" t="s">
        <v>130</v>
      </c>
      <c r="O25" s="362"/>
      <c r="P25" s="392" t="s">
        <v>110</v>
      </c>
      <c r="Q25" s="360"/>
    </row>
    <row r="26" spans="1:17" ht="15.75">
      <c r="A26" s="364">
        <v>45919</v>
      </c>
      <c r="B26" s="393" t="s">
        <v>21</v>
      </c>
      <c r="C26" s="379" t="s">
        <v>614</v>
      </c>
      <c r="D26" s="379" t="s">
        <v>33</v>
      </c>
      <c r="E26" s="380"/>
      <c r="F26" s="387" t="s">
        <v>33</v>
      </c>
      <c r="G26" s="399" t="s">
        <v>611</v>
      </c>
      <c r="H26" s="308" t="s">
        <v>614</v>
      </c>
      <c r="I26" s="400" t="s">
        <v>612</v>
      </c>
      <c r="J26" s="308" t="s">
        <v>21</v>
      </c>
      <c r="K26" s="373" t="s">
        <v>613</v>
      </c>
      <c r="L26" s="355">
        <v>45922</v>
      </c>
      <c r="M26" s="158" t="s">
        <v>21</v>
      </c>
      <c r="N26" s="108" t="s">
        <v>21</v>
      </c>
      <c r="O26" s="362"/>
      <c r="P26" s="392" t="s">
        <v>110</v>
      </c>
      <c r="Q26" s="360"/>
    </row>
    <row r="27" spans="1:17" ht="15.75">
      <c r="A27" s="364">
        <v>45920</v>
      </c>
      <c r="B27" s="371" t="s">
        <v>42</v>
      </c>
      <c r="C27" s="104" t="s">
        <v>129</v>
      </c>
      <c r="D27" s="104" t="s">
        <v>109</v>
      </c>
      <c r="E27" s="166"/>
      <c r="F27" s="323" t="s">
        <v>163</v>
      </c>
      <c r="G27" s="390" t="s">
        <v>613</v>
      </c>
      <c r="H27" s="323" t="s">
        <v>109</v>
      </c>
      <c r="I27" s="370" t="s">
        <v>611</v>
      </c>
      <c r="J27" s="323" t="s">
        <v>185</v>
      </c>
      <c r="K27" s="388" t="s">
        <v>612</v>
      </c>
      <c r="L27" s="355">
        <v>45923</v>
      </c>
      <c r="M27" s="158" t="s">
        <v>21</v>
      </c>
      <c r="N27" s="108" t="s">
        <v>17</v>
      </c>
      <c r="O27" s="362"/>
      <c r="P27" s="392" t="s">
        <v>110</v>
      </c>
      <c r="Q27" s="360"/>
    </row>
    <row r="28" spans="1:17" ht="15.75">
      <c r="A28" s="364">
        <v>45921</v>
      </c>
      <c r="B28" s="371" t="s">
        <v>42</v>
      </c>
      <c r="C28" s="104" t="s">
        <v>129</v>
      </c>
      <c r="D28" s="104" t="s">
        <v>33</v>
      </c>
      <c r="E28" s="166"/>
      <c r="F28" s="372" t="s">
        <v>163</v>
      </c>
      <c r="G28" s="386" t="s">
        <v>612</v>
      </c>
      <c r="H28" s="372" t="s">
        <v>110</v>
      </c>
      <c r="I28" s="373" t="s">
        <v>613</v>
      </c>
      <c r="J28" s="372" t="s">
        <v>17</v>
      </c>
      <c r="K28" s="370" t="s">
        <v>611</v>
      </c>
      <c r="L28" s="355">
        <v>45924</v>
      </c>
      <c r="M28" s="158" t="s">
        <v>130</v>
      </c>
      <c r="N28" s="108" t="s">
        <v>21</v>
      </c>
      <c r="O28" s="362" t="s">
        <v>130</v>
      </c>
      <c r="P28" s="392" t="s">
        <v>110</v>
      </c>
      <c r="Q28" s="360"/>
    </row>
    <row r="29" spans="1:17" ht="15.75">
      <c r="A29" s="364">
        <v>45922</v>
      </c>
      <c r="B29" s="371" t="s">
        <v>42</v>
      </c>
      <c r="C29" s="104" t="s">
        <v>129</v>
      </c>
      <c r="D29" s="104" t="s">
        <v>33</v>
      </c>
      <c r="E29" s="166"/>
      <c r="F29" s="385" t="s">
        <v>33</v>
      </c>
      <c r="G29" s="369" t="s">
        <v>611</v>
      </c>
      <c r="H29" s="372" t="s">
        <v>161</v>
      </c>
      <c r="I29" s="388" t="s">
        <v>612</v>
      </c>
      <c r="J29" s="372" t="s">
        <v>403</v>
      </c>
      <c r="K29" s="373" t="s">
        <v>613</v>
      </c>
      <c r="L29" s="355">
        <v>45925</v>
      </c>
      <c r="M29" s="158" t="s">
        <v>21</v>
      </c>
      <c r="N29" s="108" t="s">
        <v>146</v>
      </c>
      <c r="O29" s="362"/>
      <c r="P29" s="392"/>
      <c r="Q29" s="360"/>
    </row>
    <row r="30" spans="1:17" ht="15.75">
      <c r="A30" s="364">
        <v>45923</v>
      </c>
      <c r="B30" s="371" t="s">
        <v>579</v>
      </c>
      <c r="C30" s="104" t="s">
        <v>129</v>
      </c>
      <c r="D30" s="104" t="s">
        <v>33</v>
      </c>
      <c r="E30" s="166"/>
      <c r="F30" s="387" t="s">
        <v>33</v>
      </c>
      <c r="G30" s="390" t="s">
        <v>613</v>
      </c>
      <c r="H30" s="323" t="s">
        <v>579</v>
      </c>
      <c r="I30" s="370" t="s">
        <v>611</v>
      </c>
      <c r="J30" s="323" t="s">
        <v>109</v>
      </c>
      <c r="K30" s="388" t="s">
        <v>612</v>
      </c>
      <c r="L30" s="355">
        <v>45926</v>
      </c>
      <c r="M30" s="374"/>
      <c r="N30" s="375" t="s">
        <v>17</v>
      </c>
      <c r="O30" s="376"/>
      <c r="P30" s="398"/>
      <c r="Q30" s="377"/>
    </row>
    <row r="31" spans="1:17" ht="15.75">
      <c r="A31" s="364">
        <v>45924</v>
      </c>
      <c r="B31" s="371" t="s">
        <v>42</v>
      </c>
      <c r="C31" s="104" t="s">
        <v>129</v>
      </c>
      <c r="D31" s="104" t="s">
        <v>33</v>
      </c>
      <c r="E31" s="166"/>
      <c r="F31" s="323" t="s">
        <v>163</v>
      </c>
      <c r="G31" s="386" t="s">
        <v>612</v>
      </c>
      <c r="H31" s="323" t="s">
        <v>129</v>
      </c>
      <c r="I31" s="373" t="s">
        <v>613</v>
      </c>
      <c r="J31" s="372" t="s">
        <v>130</v>
      </c>
      <c r="K31" s="370" t="s">
        <v>611</v>
      </c>
      <c r="L31" s="355">
        <v>45927</v>
      </c>
      <c r="M31" s="158" t="s">
        <v>21</v>
      </c>
      <c r="N31" s="108" t="s">
        <v>21</v>
      </c>
      <c r="O31" s="362"/>
      <c r="P31" s="392" t="s">
        <v>110</v>
      </c>
      <c r="Q31" s="360"/>
    </row>
    <row r="32" spans="1:17" ht="15.75">
      <c r="A32" s="364">
        <v>45925</v>
      </c>
      <c r="B32" s="371" t="s">
        <v>42</v>
      </c>
      <c r="C32" s="104" t="s">
        <v>579</v>
      </c>
      <c r="D32" s="104" t="s">
        <v>33</v>
      </c>
      <c r="E32" s="166"/>
      <c r="F32" s="372" t="s">
        <v>33</v>
      </c>
      <c r="G32" s="369" t="s">
        <v>611</v>
      </c>
      <c r="H32" s="372" t="s">
        <v>163</v>
      </c>
      <c r="I32" s="388" t="s">
        <v>612</v>
      </c>
      <c r="J32" s="372" t="s">
        <v>161</v>
      </c>
      <c r="K32" s="373" t="s">
        <v>613</v>
      </c>
      <c r="L32" s="355">
        <v>45928</v>
      </c>
      <c r="M32" s="158" t="s">
        <v>21</v>
      </c>
      <c r="N32" s="108" t="s">
        <v>146</v>
      </c>
      <c r="O32" s="362"/>
      <c r="P32" s="392" t="s">
        <v>110</v>
      </c>
      <c r="Q32" s="360"/>
    </row>
    <row r="33" spans="1:18" ht="15.75">
      <c r="A33" s="364">
        <v>45926</v>
      </c>
      <c r="B33" s="393" t="s">
        <v>146</v>
      </c>
      <c r="C33" s="379" t="s">
        <v>185</v>
      </c>
      <c r="D33" s="379" t="s">
        <v>33</v>
      </c>
      <c r="E33" s="380"/>
      <c r="F33" s="385" t="s">
        <v>33</v>
      </c>
      <c r="G33" s="382" t="s">
        <v>613</v>
      </c>
      <c r="H33" s="381" t="s">
        <v>146</v>
      </c>
      <c r="I33" s="383" t="s">
        <v>611</v>
      </c>
      <c r="J33" s="381" t="s">
        <v>185</v>
      </c>
      <c r="K33" s="388" t="s">
        <v>612</v>
      </c>
      <c r="L33" s="355">
        <v>45929</v>
      </c>
      <c r="M33" s="158" t="s">
        <v>21</v>
      </c>
      <c r="N33" s="108" t="s">
        <v>17</v>
      </c>
      <c r="O33" s="362"/>
      <c r="P33" s="392" t="s">
        <v>110</v>
      </c>
      <c r="Q33" s="360"/>
    </row>
    <row r="34" spans="1:18" ht="15.75">
      <c r="A34" s="364">
        <v>45927</v>
      </c>
      <c r="B34" s="371" t="s">
        <v>42</v>
      </c>
      <c r="C34" s="104" t="s">
        <v>129</v>
      </c>
      <c r="D34" s="104" t="s">
        <v>109</v>
      </c>
      <c r="E34" s="166" t="s">
        <v>185</v>
      </c>
      <c r="F34" s="387" t="s">
        <v>33</v>
      </c>
      <c r="G34" s="386" t="s">
        <v>612</v>
      </c>
      <c r="H34" s="372" t="s">
        <v>109</v>
      </c>
      <c r="I34" s="373" t="s">
        <v>613</v>
      </c>
      <c r="J34" s="372" t="s">
        <v>185</v>
      </c>
      <c r="K34" s="370" t="s">
        <v>611</v>
      </c>
      <c r="L34" s="355">
        <v>45930</v>
      </c>
      <c r="M34" s="401" t="s">
        <v>21</v>
      </c>
      <c r="N34" s="402" t="s">
        <v>615</v>
      </c>
      <c r="O34" s="403"/>
      <c r="P34" s="404"/>
      <c r="Q34" s="405"/>
    </row>
    <row r="35" spans="1:18" ht="15.75">
      <c r="A35" s="364">
        <v>45928</v>
      </c>
      <c r="B35" s="371" t="s">
        <v>42</v>
      </c>
      <c r="C35" s="104" t="s">
        <v>129</v>
      </c>
      <c r="D35" s="104" t="s">
        <v>33</v>
      </c>
      <c r="E35" s="166"/>
      <c r="F35" s="323" t="s">
        <v>163</v>
      </c>
      <c r="G35" s="369" t="s">
        <v>611</v>
      </c>
      <c r="H35" s="406" t="s">
        <v>110</v>
      </c>
      <c r="I35" s="388" t="s">
        <v>612</v>
      </c>
      <c r="J35" s="406" t="s">
        <v>146</v>
      </c>
      <c r="K35" s="373" t="s">
        <v>613</v>
      </c>
      <c r="L35" s="1362">
        <v>0</v>
      </c>
      <c r="M35" s="1363"/>
      <c r="N35" s="407" t="s">
        <v>542</v>
      </c>
      <c r="O35" s="407" t="s">
        <v>548</v>
      </c>
      <c r="P35" s="408" t="s">
        <v>549</v>
      </c>
      <c r="Q35" s="298" t="s">
        <v>550</v>
      </c>
      <c r="R35" s="299" t="s">
        <v>479</v>
      </c>
    </row>
    <row r="36" spans="1:18" ht="15.75">
      <c r="A36" s="364">
        <v>45929</v>
      </c>
      <c r="B36" s="371" t="s">
        <v>42</v>
      </c>
      <c r="C36" s="104" t="s">
        <v>129</v>
      </c>
      <c r="D36" s="104" t="s">
        <v>33</v>
      </c>
      <c r="E36" s="389"/>
      <c r="F36" s="372" t="s">
        <v>163</v>
      </c>
      <c r="G36" s="390" t="s">
        <v>613</v>
      </c>
      <c r="H36" s="372" t="s">
        <v>109</v>
      </c>
      <c r="I36" s="370" t="s">
        <v>611</v>
      </c>
      <c r="J36" s="372" t="s">
        <v>161</v>
      </c>
      <c r="K36" s="388" t="s">
        <v>612</v>
      </c>
      <c r="L36" s="213" t="s">
        <v>616</v>
      </c>
      <c r="M36" s="302"/>
      <c r="N36" s="18">
        <v>2</v>
      </c>
      <c r="O36" s="409" t="s">
        <v>617</v>
      </c>
      <c r="P36" s="410"/>
      <c r="Q36" s="411"/>
      <c r="R36" s="307" t="s">
        <v>607</v>
      </c>
    </row>
    <row r="37" spans="1:18" ht="15.75">
      <c r="A37" s="364">
        <v>45930</v>
      </c>
      <c r="B37" s="371" t="s">
        <v>579</v>
      </c>
      <c r="C37" s="104" t="s">
        <v>129</v>
      </c>
      <c r="D37" s="104" t="s">
        <v>33</v>
      </c>
      <c r="E37" s="166"/>
      <c r="F37" s="385" t="s">
        <v>33</v>
      </c>
      <c r="G37" s="386" t="s">
        <v>612</v>
      </c>
      <c r="H37" s="372" t="s">
        <v>185</v>
      </c>
      <c r="I37" s="373" t="s">
        <v>613</v>
      </c>
      <c r="J37" s="372" t="s">
        <v>579</v>
      </c>
      <c r="K37" s="370" t="s">
        <v>611</v>
      </c>
      <c r="L37" s="1329" t="s">
        <v>618</v>
      </c>
      <c r="M37" s="1384"/>
      <c r="N37" s="315">
        <v>5</v>
      </c>
      <c r="O37" s="316">
        <v>1</v>
      </c>
      <c r="P37" s="412"/>
      <c r="Q37" s="413"/>
      <c r="R37" s="319"/>
    </row>
    <row r="38" spans="1:18" ht="15.75">
      <c r="A38" s="414"/>
      <c r="B38" s="415"/>
      <c r="C38" s="115"/>
      <c r="D38" s="115"/>
      <c r="E38" s="416"/>
      <c r="F38" s="417"/>
      <c r="G38" s="161"/>
      <c r="H38" s="418"/>
      <c r="I38" s="419"/>
      <c r="J38" s="418"/>
      <c r="K38" s="420"/>
      <c r="L38" s="1329" t="s">
        <v>619</v>
      </c>
      <c r="M38" s="1384"/>
      <c r="N38" s="315">
        <v>8</v>
      </c>
      <c r="O38" s="316">
        <v>8</v>
      </c>
      <c r="P38" s="412"/>
      <c r="Q38" s="413"/>
      <c r="R38" s="319"/>
    </row>
    <row r="39" spans="1:18">
      <c r="I39" s="421"/>
      <c r="K39" s="421"/>
      <c r="L39" s="1328" t="s">
        <v>620</v>
      </c>
      <c r="M39" s="1384"/>
      <c r="N39" s="315">
        <v>6</v>
      </c>
      <c r="O39" s="316">
        <v>1</v>
      </c>
      <c r="P39" s="412"/>
      <c r="Q39" s="413"/>
      <c r="R39" s="319"/>
    </row>
    <row r="40" spans="1:18">
      <c r="L40" s="1382" t="s">
        <v>621</v>
      </c>
      <c r="M40" s="1383"/>
      <c r="N40" s="315"/>
      <c r="O40" s="316">
        <v>4</v>
      </c>
      <c r="P40" s="412"/>
      <c r="Q40" s="413"/>
      <c r="R40" s="319" t="s">
        <v>607</v>
      </c>
    </row>
    <row r="41" spans="1:18">
      <c r="L41" s="1326" t="s">
        <v>566</v>
      </c>
      <c r="M41" s="1327"/>
      <c r="N41" s="315"/>
      <c r="O41" s="316"/>
      <c r="P41" s="412">
        <v>14</v>
      </c>
      <c r="Q41" s="413"/>
      <c r="R41" s="319"/>
    </row>
    <row r="42" spans="1:18">
      <c r="L42" s="196" t="s">
        <v>622</v>
      </c>
      <c r="M42" s="325"/>
      <c r="N42" s="315"/>
      <c r="O42" s="316">
        <v>7</v>
      </c>
      <c r="P42" s="412"/>
      <c r="Q42" s="413"/>
      <c r="R42" s="319"/>
    </row>
    <row r="43" spans="1:18">
      <c r="L43" s="1322" t="s">
        <v>567</v>
      </c>
      <c r="M43" s="1323"/>
      <c r="N43" s="315"/>
      <c r="O43" s="316"/>
      <c r="P43" s="412"/>
      <c r="Q43" s="413"/>
      <c r="R43" s="319" t="s">
        <v>607</v>
      </c>
    </row>
    <row r="44" spans="1:18">
      <c r="L44" s="1322" t="s">
        <v>568</v>
      </c>
      <c r="M44" s="1323"/>
      <c r="N44" s="315"/>
      <c r="O44" s="316"/>
      <c r="P44" s="412"/>
      <c r="Q44" s="413"/>
      <c r="R44" s="319" t="s">
        <v>607</v>
      </c>
    </row>
    <row r="45" spans="1:18">
      <c r="L45" s="1322" t="s">
        <v>569</v>
      </c>
      <c r="M45" s="1323"/>
      <c r="N45" s="315"/>
      <c r="O45" s="316">
        <v>4</v>
      </c>
      <c r="P45" s="412">
        <v>1</v>
      </c>
      <c r="Q45" s="413"/>
      <c r="R45" s="319"/>
    </row>
    <row r="46" spans="1:18">
      <c r="L46" s="1322" t="s">
        <v>558</v>
      </c>
      <c r="M46" s="1323"/>
      <c r="N46" s="315">
        <v>2</v>
      </c>
      <c r="O46" s="316">
        <v>7</v>
      </c>
      <c r="P46" s="412">
        <v>9</v>
      </c>
      <c r="Q46" s="413"/>
      <c r="R46" s="319"/>
    </row>
    <row r="47" spans="1:18">
      <c r="L47" s="1322" t="s">
        <v>222</v>
      </c>
      <c r="M47" s="1323"/>
      <c r="N47" s="315">
        <v>4</v>
      </c>
      <c r="O47" s="316">
        <v>9</v>
      </c>
      <c r="P47" s="412"/>
      <c r="Q47" s="413"/>
      <c r="R47" s="319"/>
    </row>
    <row r="48" spans="1:18">
      <c r="L48" s="1322" t="s">
        <v>559</v>
      </c>
      <c r="M48" s="1323"/>
      <c r="N48" s="315">
        <v>2</v>
      </c>
      <c r="O48" s="316">
        <v>5</v>
      </c>
      <c r="P48" s="412"/>
      <c r="Q48" s="413"/>
      <c r="R48" s="319"/>
    </row>
    <row r="49" spans="12:18">
      <c r="L49" s="197" t="s">
        <v>560</v>
      </c>
      <c r="M49" s="326"/>
      <c r="N49" s="315"/>
      <c r="O49" s="316">
        <v>5</v>
      </c>
      <c r="P49" s="412"/>
      <c r="Q49" s="413"/>
      <c r="R49" s="319"/>
    </row>
    <row r="50" spans="12:18">
      <c r="L50" s="197" t="s">
        <v>561</v>
      </c>
      <c r="M50" s="326"/>
      <c r="N50" s="331"/>
      <c r="O50" s="332"/>
      <c r="P50" s="422"/>
      <c r="Q50" s="423"/>
      <c r="R50" s="335" t="s">
        <v>607</v>
      </c>
    </row>
    <row r="51" spans="12:18">
      <c r="L51" s="1322" t="s">
        <v>574</v>
      </c>
      <c r="M51" s="1323"/>
      <c r="N51" s="315">
        <v>9</v>
      </c>
      <c r="O51" s="412">
        <v>2</v>
      </c>
      <c r="P51" s="412"/>
      <c r="Q51" s="413"/>
      <c r="R51" s="319" t="s">
        <v>607</v>
      </c>
    </row>
    <row r="52" spans="12:18">
      <c r="L52" s="1308" t="s">
        <v>614</v>
      </c>
      <c r="M52" s="1309"/>
      <c r="N52" s="424">
        <v>4</v>
      </c>
      <c r="O52" s="425">
        <v>2</v>
      </c>
      <c r="P52" s="425"/>
      <c r="Q52" s="426"/>
      <c r="R52" s="340"/>
    </row>
    <row r="53" spans="12:18">
      <c r="L53" s="1"/>
      <c r="M53" s="1"/>
    </row>
  </sheetData>
  <mergeCells count="23">
    <mergeCell ref="A4:K4"/>
    <mergeCell ref="L35:M35"/>
    <mergeCell ref="L40:M40"/>
    <mergeCell ref="L41:M41"/>
    <mergeCell ref="L1:P1"/>
    <mergeCell ref="L2:P2"/>
    <mergeCell ref="M3:N3"/>
    <mergeCell ref="L48:M48"/>
    <mergeCell ref="L51:M51"/>
    <mergeCell ref="L52:M52"/>
    <mergeCell ref="A1:A3"/>
    <mergeCell ref="A5:A7"/>
    <mergeCell ref="B5:E6"/>
    <mergeCell ref="F5:K6"/>
    <mergeCell ref="B1:H3"/>
    <mergeCell ref="L43:M43"/>
    <mergeCell ref="L44:M44"/>
    <mergeCell ref="L45:M45"/>
    <mergeCell ref="L46:M46"/>
    <mergeCell ref="L47:M47"/>
    <mergeCell ref="L37:M37"/>
    <mergeCell ref="L38:M38"/>
    <mergeCell ref="L39:M39"/>
  </mergeCells>
  <pageMargins left="0" right="0" top="0" bottom="0" header="0" footer="0"/>
  <pageSetup paperSize="9" orientation="portrait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M49"/>
  <sheetViews>
    <sheetView workbookViewId="0">
      <selection activeCell="I29" sqref="I29"/>
    </sheetView>
  </sheetViews>
  <sheetFormatPr baseColWidth="10" defaultColWidth="11" defaultRowHeight="15"/>
  <cols>
    <col min="1" max="1" width="25.85546875" customWidth="1"/>
    <col min="2" max="2" width="9.85546875" customWidth="1"/>
    <col min="3" max="5" width="9.28515625" customWidth="1"/>
    <col min="6" max="6" width="13.42578125" customWidth="1"/>
    <col min="7" max="7" width="11.5703125" customWidth="1"/>
    <col min="8" max="8" width="14" customWidth="1"/>
    <col min="9" max="9" width="10.7109375" customWidth="1"/>
    <col min="10" max="10" width="2.7109375" customWidth="1"/>
    <col min="11" max="11" width="10.42578125" customWidth="1"/>
    <col min="12" max="12" width="2.7109375" customWidth="1"/>
    <col min="14" max="14" width="2.85546875" customWidth="1"/>
    <col min="15" max="15" width="6.85546875" customWidth="1"/>
  </cols>
  <sheetData>
    <row r="1" spans="1:39" ht="18.75" customHeight="1">
      <c r="A1" s="1394" t="s">
        <v>623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</row>
    <row r="2" spans="1:39" ht="18.75" customHeight="1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</row>
    <row r="3" spans="1:39" ht="18.75">
      <c r="A3" s="1355" t="s">
        <v>2</v>
      </c>
      <c r="B3" s="1385" t="s">
        <v>543</v>
      </c>
      <c r="C3" s="1385"/>
      <c r="D3" s="1385"/>
      <c r="E3" s="1386"/>
      <c r="F3" s="281" t="s">
        <v>542</v>
      </c>
      <c r="G3" s="282" t="s">
        <v>541</v>
      </c>
      <c r="H3" s="282" t="s">
        <v>624</v>
      </c>
      <c r="I3" s="1389" t="s">
        <v>544</v>
      </c>
      <c r="J3" s="1385"/>
      <c r="K3" s="1385"/>
      <c r="L3" s="1385"/>
      <c r="M3" s="1385"/>
      <c r="N3" s="1386"/>
    </row>
    <row r="4" spans="1:39" ht="15.75">
      <c r="A4" s="1357"/>
      <c r="B4" s="283" t="s">
        <v>8</v>
      </c>
      <c r="C4" s="284" t="s">
        <v>9</v>
      </c>
      <c r="D4" s="284" t="s">
        <v>10</v>
      </c>
      <c r="E4" s="285" t="s">
        <v>7</v>
      </c>
      <c r="F4" s="286" t="s">
        <v>434</v>
      </c>
      <c r="G4" s="287" t="s">
        <v>625</v>
      </c>
      <c r="H4" s="288" t="s">
        <v>625</v>
      </c>
      <c r="I4" s="1399" t="s">
        <v>626</v>
      </c>
      <c r="J4" s="1400"/>
      <c r="K4" s="289" t="s">
        <v>546</v>
      </c>
      <c r="L4" s="290" t="s">
        <v>610</v>
      </c>
      <c r="M4" s="289" t="s">
        <v>546</v>
      </c>
      <c r="N4" s="291" t="s">
        <v>610</v>
      </c>
    </row>
    <row r="5" spans="1:39" ht="15.75">
      <c r="A5" s="292">
        <v>45931</v>
      </c>
      <c r="B5" s="165" t="s">
        <v>466</v>
      </c>
      <c r="C5" s="104" t="s">
        <v>475</v>
      </c>
      <c r="D5" s="104" t="s">
        <v>476</v>
      </c>
      <c r="E5" s="166" t="s">
        <v>457</v>
      </c>
      <c r="F5" s="293" t="s">
        <v>459</v>
      </c>
      <c r="G5" s="106" t="s">
        <v>73</v>
      </c>
      <c r="H5" s="294" t="s">
        <v>449</v>
      </c>
      <c r="I5" s="295" t="s">
        <v>627</v>
      </c>
      <c r="J5" s="30" t="s">
        <v>611</v>
      </c>
      <c r="K5" s="296" t="s">
        <v>459</v>
      </c>
      <c r="L5" s="30" t="s">
        <v>612</v>
      </c>
      <c r="M5" s="296" t="s">
        <v>475</v>
      </c>
      <c r="N5" s="30" t="s">
        <v>613</v>
      </c>
      <c r="AG5" s="1332"/>
      <c r="AH5" s="1333"/>
      <c r="AI5" s="15" t="s">
        <v>542</v>
      </c>
      <c r="AJ5" s="15" t="s">
        <v>548</v>
      </c>
      <c r="AK5" s="297" t="s">
        <v>549</v>
      </c>
      <c r="AL5" s="298" t="s">
        <v>550</v>
      </c>
      <c r="AM5" s="299" t="s">
        <v>479</v>
      </c>
    </row>
    <row r="6" spans="1:39" ht="15.75">
      <c r="A6" s="292">
        <v>45932</v>
      </c>
      <c r="B6" s="103" t="s">
        <v>466</v>
      </c>
      <c r="C6" s="49" t="s">
        <v>572</v>
      </c>
      <c r="D6" s="49" t="s">
        <v>476</v>
      </c>
      <c r="E6" s="50" t="s">
        <v>457</v>
      </c>
      <c r="F6" s="300" t="s">
        <v>459</v>
      </c>
      <c r="G6" s="158" t="s">
        <v>449</v>
      </c>
      <c r="H6" s="108" t="s">
        <v>34</v>
      </c>
      <c r="I6" s="97" t="s">
        <v>163</v>
      </c>
      <c r="J6" s="181" t="s">
        <v>613</v>
      </c>
      <c r="K6" s="37" t="s">
        <v>458</v>
      </c>
      <c r="L6" s="181" t="s">
        <v>611</v>
      </c>
      <c r="M6" s="191" t="s">
        <v>453</v>
      </c>
      <c r="N6" s="41" t="s">
        <v>612</v>
      </c>
      <c r="AG6" s="301" t="s">
        <v>628</v>
      </c>
      <c r="AH6" s="302"/>
      <c r="AI6" s="303"/>
      <c r="AJ6" s="304"/>
      <c r="AK6" s="305"/>
      <c r="AL6" s="306"/>
      <c r="AM6" s="307"/>
    </row>
    <row r="7" spans="1:39" ht="15.75">
      <c r="A7" s="292">
        <v>45933</v>
      </c>
      <c r="B7" s="308" t="s">
        <v>163</v>
      </c>
      <c r="C7" s="309" t="s">
        <v>350</v>
      </c>
      <c r="D7" s="309" t="s">
        <v>457</v>
      </c>
      <c r="E7" s="310" t="s">
        <v>476</v>
      </c>
      <c r="F7" s="311" t="s">
        <v>34</v>
      </c>
      <c r="G7" s="312"/>
      <c r="H7" s="313" t="s">
        <v>449</v>
      </c>
      <c r="I7" s="95" t="s">
        <v>163</v>
      </c>
      <c r="J7" s="181" t="s">
        <v>612</v>
      </c>
      <c r="K7" s="191" t="s">
        <v>350</v>
      </c>
      <c r="L7" s="181" t="s">
        <v>613</v>
      </c>
      <c r="M7" s="191" t="s">
        <v>163</v>
      </c>
      <c r="N7" s="181" t="s">
        <v>611</v>
      </c>
      <c r="AG7" s="219" t="s">
        <v>213</v>
      </c>
      <c r="AH7" s="314"/>
      <c r="AI7" s="315"/>
      <c r="AJ7" s="316"/>
      <c r="AK7" s="317"/>
      <c r="AL7" s="318"/>
      <c r="AM7" s="319" t="s">
        <v>629</v>
      </c>
    </row>
    <row r="8" spans="1:39" ht="15.75">
      <c r="A8" s="292">
        <v>45934</v>
      </c>
      <c r="B8" s="308" t="s">
        <v>630</v>
      </c>
      <c r="C8" s="309" t="s">
        <v>475</v>
      </c>
      <c r="D8" s="309" t="s">
        <v>455</v>
      </c>
      <c r="E8" s="310" t="s">
        <v>572</v>
      </c>
      <c r="F8" s="320" t="s">
        <v>34</v>
      </c>
      <c r="G8" s="158" t="s">
        <v>73</v>
      </c>
      <c r="H8" s="294" t="s">
        <v>73</v>
      </c>
      <c r="I8" s="95" t="s">
        <v>33</v>
      </c>
      <c r="J8" s="181" t="s">
        <v>611</v>
      </c>
      <c r="K8" s="191" t="s">
        <v>449</v>
      </c>
      <c r="L8" s="181" t="s">
        <v>612</v>
      </c>
      <c r="M8" s="191" t="s">
        <v>455</v>
      </c>
      <c r="N8" s="181" t="s">
        <v>613</v>
      </c>
      <c r="AG8" s="219" t="s">
        <v>552</v>
      </c>
      <c r="AH8" s="314"/>
      <c r="AI8" s="315"/>
      <c r="AJ8" s="316"/>
      <c r="AK8" s="317"/>
      <c r="AL8" s="318"/>
      <c r="AM8" s="319"/>
    </row>
    <row r="9" spans="1:39" ht="15.75">
      <c r="A9" s="292">
        <v>45935</v>
      </c>
      <c r="B9" s="103" t="s">
        <v>466</v>
      </c>
      <c r="C9" s="49" t="s">
        <v>475</v>
      </c>
      <c r="D9" s="49" t="s">
        <v>476</v>
      </c>
      <c r="E9" s="50" t="s">
        <v>34</v>
      </c>
      <c r="F9" s="300" t="s">
        <v>459</v>
      </c>
      <c r="G9" s="158" t="s">
        <v>73</v>
      </c>
      <c r="H9" s="108" t="s">
        <v>34</v>
      </c>
      <c r="I9" s="97"/>
      <c r="J9" s="41" t="s">
        <v>613</v>
      </c>
      <c r="K9" s="37" t="s">
        <v>457</v>
      </c>
      <c r="L9" s="181" t="s">
        <v>611</v>
      </c>
      <c r="M9" s="191" t="s">
        <v>459</v>
      </c>
      <c r="N9" s="181" t="s">
        <v>612</v>
      </c>
      <c r="AG9" s="219" t="s">
        <v>212</v>
      </c>
      <c r="AH9" s="314"/>
      <c r="AI9" s="315"/>
      <c r="AJ9" s="316"/>
      <c r="AK9" s="317"/>
      <c r="AL9" s="318"/>
      <c r="AM9" s="319"/>
    </row>
    <row r="10" spans="1:39" ht="15.75">
      <c r="A10" s="292">
        <v>45936</v>
      </c>
      <c r="B10" s="103" t="s">
        <v>466</v>
      </c>
      <c r="C10" s="49" t="s">
        <v>475</v>
      </c>
      <c r="D10" s="49" t="s">
        <v>476</v>
      </c>
      <c r="E10" s="50" t="s">
        <v>457</v>
      </c>
      <c r="F10" s="300" t="s">
        <v>459</v>
      </c>
      <c r="G10" s="158"/>
      <c r="H10" s="108" t="s">
        <v>73</v>
      </c>
      <c r="I10" s="97" t="s">
        <v>163</v>
      </c>
      <c r="J10" s="40" t="s">
        <v>612</v>
      </c>
      <c r="K10" s="37" t="s">
        <v>146</v>
      </c>
      <c r="L10" s="41" t="s">
        <v>613</v>
      </c>
      <c r="M10" s="191" t="s">
        <v>453</v>
      </c>
      <c r="N10" s="181" t="s">
        <v>611</v>
      </c>
      <c r="AG10" s="221" t="s">
        <v>565</v>
      </c>
      <c r="AH10" s="321"/>
      <c r="AI10" s="322"/>
      <c r="AJ10" s="316"/>
      <c r="AK10" s="317"/>
      <c r="AL10" s="318"/>
      <c r="AM10" s="319"/>
    </row>
    <row r="11" spans="1:39" ht="15.75">
      <c r="A11" s="292">
        <v>45937</v>
      </c>
      <c r="B11" s="323" t="s">
        <v>572</v>
      </c>
      <c r="C11" s="49" t="s">
        <v>475</v>
      </c>
      <c r="D11" s="49" t="s">
        <v>476</v>
      </c>
      <c r="E11" s="50" t="s">
        <v>457</v>
      </c>
      <c r="F11" s="300" t="s">
        <v>459</v>
      </c>
      <c r="G11" s="158" t="s">
        <v>73</v>
      </c>
      <c r="H11" s="294" t="s">
        <v>449</v>
      </c>
      <c r="I11" s="95" t="s">
        <v>163</v>
      </c>
      <c r="J11" s="181" t="s">
        <v>611</v>
      </c>
      <c r="K11" s="191" t="s">
        <v>572</v>
      </c>
      <c r="L11" s="40" t="s">
        <v>612</v>
      </c>
      <c r="M11" s="191" t="s">
        <v>161</v>
      </c>
      <c r="N11" s="41" t="s">
        <v>613</v>
      </c>
      <c r="AG11" s="194" t="s">
        <v>566</v>
      </c>
      <c r="AH11" s="324"/>
      <c r="AI11" s="315"/>
      <c r="AJ11" s="316"/>
      <c r="AK11" s="317"/>
      <c r="AL11" s="318"/>
      <c r="AM11" s="319"/>
    </row>
    <row r="12" spans="1:39" ht="15.75">
      <c r="A12" s="292">
        <v>45938</v>
      </c>
      <c r="B12" s="323" t="s">
        <v>630</v>
      </c>
      <c r="C12" s="49" t="s">
        <v>475</v>
      </c>
      <c r="D12" s="49" t="s">
        <v>476</v>
      </c>
      <c r="E12" s="50" t="s">
        <v>457</v>
      </c>
      <c r="F12" s="320" t="s">
        <v>21</v>
      </c>
      <c r="G12" s="158"/>
      <c r="H12" s="108" t="s">
        <v>34</v>
      </c>
      <c r="I12" s="95"/>
      <c r="J12" s="41" t="s">
        <v>613</v>
      </c>
      <c r="K12" s="191" t="s">
        <v>475</v>
      </c>
      <c r="L12" s="181" t="s">
        <v>611</v>
      </c>
      <c r="M12" s="191" t="s">
        <v>457</v>
      </c>
      <c r="N12" s="40" t="s">
        <v>612</v>
      </c>
      <c r="AG12" s="196" t="s">
        <v>622</v>
      </c>
      <c r="AH12" s="325"/>
      <c r="AI12" s="315"/>
      <c r="AJ12" s="316"/>
      <c r="AK12" s="317"/>
      <c r="AL12" s="318"/>
      <c r="AM12" s="319"/>
    </row>
    <row r="13" spans="1:39" ht="15.75">
      <c r="A13" s="292">
        <v>45939</v>
      </c>
      <c r="B13" s="323" t="s">
        <v>630</v>
      </c>
      <c r="C13" s="49" t="s">
        <v>572</v>
      </c>
      <c r="D13" s="49" t="s">
        <v>476</v>
      </c>
      <c r="E13" s="50" t="s">
        <v>457</v>
      </c>
      <c r="F13" s="300" t="s">
        <v>34</v>
      </c>
      <c r="G13" s="158" t="s">
        <v>34</v>
      </c>
      <c r="H13" s="108" t="s">
        <v>449</v>
      </c>
      <c r="I13" s="97" t="s">
        <v>627</v>
      </c>
      <c r="J13" s="40" t="s">
        <v>612</v>
      </c>
      <c r="K13" s="37" t="s">
        <v>458</v>
      </c>
      <c r="L13" s="41" t="s">
        <v>613</v>
      </c>
      <c r="M13" s="191" t="s">
        <v>446</v>
      </c>
      <c r="N13" s="181" t="s">
        <v>611</v>
      </c>
      <c r="AG13" s="197" t="s">
        <v>567</v>
      </c>
      <c r="AH13" s="326"/>
      <c r="AI13" s="315"/>
      <c r="AJ13" s="316"/>
      <c r="AK13" s="317"/>
      <c r="AL13" s="318"/>
      <c r="AM13" s="319"/>
    </row>
    <row r="14" spans="1:39" ht="15.75">
      <c r="A14" s="292">
        <v>45940</v>
      </c>
      <c r="B14" s="308" t="s">
        <v>17</v>
      </c>
      <c r="C14" s="309" t="s">
        <v>350</v>
      </c>
      <c r="D14" s="309" t="s">
        <v>446</v>
      </c>
      <c r="E14" s="310" t="s">
        <v>476</v>
      </c>
      <c r="F14" s="327"/>
      <c r="G14" s="328"/>
      <c r="H14" s="329" t="s">
        <v>456</v>
      </c>
      <c r="I14" s="97" t="s">
        <v>163</v>
      </c>
      <c r="J14" s="181" t="s">
        <v>611</v>
      </c>
      <c r="K14" s="37" t="s">
        <v>350</v>
      </c>
      <c r="L14" s="40" t="s">
        <v>612</v>
      </c>
      <c r="M14" s="191" t="s">
        <v>446</v>
      </c>
      <c r="N14" s="41" t="s">
        <v>613</v>
      </c>
      <c r="AG14" s="197" t="s">
        <v>568</v>
      </c>
      <c r="AH14" s="326"/>
      <c r="AI14" s="315"/>
      <c r="AJ14" s="316"/>
      <c r="AK14" s="317"/>
      <c r="AL14" s="318"/>
      <c r="AM14" s="319"/>
    </row>
    <row r="15" spans="1:39" ht="15.75">
      <c r="A15" s="292">
        <v>45941</v>
      </c>
      <c r="B15" s="308" t="s">
        <v>630</v>
      </c>
      <c r="C15" s="309" t="s">
        <v>475</v>
      </c>
      <c r="D15" s="309" t="s">
        <v>455</v>
      </c>
      <c r="E15" s="310" t="s">
        <v>572</v>
      </c>
      <c r="F15" s="300" t="s">
        <v>34</v>
      </c>
      <c r="G15" s="158"/>
      <c r="H15" s="108" t="s">
        <v>73</v>
      </c>
      <c r="I15" s="95" t="s">
        <v>163</v>
      </c>
      <c r="J15" s="41" t="s">
        <v>613</v>
      </c>
      <c r="K15" s="191" t="s">
        <v>631</v>
      </c>
      <c r="L15" s="181" t="s">
        <v>611</v>
      </c>
      <c r="M15" s="191" t="s">
        <v>455</v>
      </c>
      <c r="N15" s="40" t="s">
        <v>612</v>
      </c>
      <c r="AG15" s="197" t="s">
        <v>569</v>
      </c>
      <c r="AH15" s="326"/>
      <c r="AI15" s="315"/>
      <c r="AJ15" s="316"/>
      <c r="AK15" s="317"/>
      <c r="AL15" s="318"/>
      <c r="AM15" s="319"/>
    </row>
    <row r="16" spans="1:39" ht="15.75">
      <c r="A16" s="292">
        <v>45942</v>
      </c>
      <c r="B16" s="323" t="s">
        <v>630</v>
      </c>
      <c r="C16" s="49" t="s">
        <v>475</v>
      </c>
      <c r="D16" s="49" t="s">
        <v>476</v>
      </c>
      <c r="E16" s="50" t="s">
        <v>33</v>
      </c>
      <c r="F16" s="300" t="s">
        <v>459</v>
      </c>
      <c r="G16" s="158" t="s">
        <v>73</v>
      </c>
      <c r="H16" s="108" t="s">
        <v>456</v>
      </c>
      <c r="I16" s="95" t="s">
        <v>33</v>
      </c>
      <c r="J16" s="40" t="s">
        <v>612</v>
      </c>
      <c r="K16" s="191" t="s">
        <v>449</v>
      </c>
      <c r="L16" s="41" t="s">
        <v>613</v>
      </c>
      <c r="M16" s="191" t="s">
        <v>459</v>
      </c>
      <c r="N16" s="181" t="s">
        <v>611</v>
      </c>
      <c r="AG16" s="197" t="s">
        <v>558</v>
      </c>
      <c r="AH16" s="326"/>
      <c r="AI16" s="322"/>
      <c r="AJ16" s="330"/>
      <c r="AK16" s="317"/>
      <c r="AL16" s="318"/>
      <c r="AM16" s="319"/>
    </row>
    <row r="17" spans="1:39" ht="15.75">
      <c r="A17" s="292">
        <v>45943</v>
      </c>
      <c r="B17" s="323" t="s">
        <v>630</v>
      </c>
      <c r="C17" s="49" t="s">
        <v>475</v>
      </c>
      <c r="D17" s="49" t="s">
        <v>476</v>
      </c>
      <c r="E17" s="50" t="s">
        <v>614</v>
      </c>
      <c r="F17" s="300" t="s">
        <v>459</v>
      </c>
      <c r="G17" s="158" t="s">
        <v>73</v>
      </c>
      <c r="H17" s="294" t="s">
        <v>449</v>
      </c>
      <c r="I17" s="95" t="s">
        <v>614</v>
      </c>
      <c r="J17" s="181" t="s">
        <v>611</v>
      </c>
      <c r="K17" s="191" t="s">
        <v>458</v>
      </c>
      <c r="L17" s="40" t="s">
        <v>612</v>
      </c>
      <c r="M17" s="191" t="s">
        <v>350</v>
      </c>
      <c r="N17" s="41" t="s">
        <v>613</v>
      </c>
      <c r="AG17" s="197" t="s">
        <v>222</v>
      </c>
      <c r="AH17" s="326"/>
      <c r="AI17" s="315"/>
      <c r="AJ17" s="316"/>
      <c r="AK17" s="317"/>
      <c r="AL17" s="318"/>
      <c r="AM17" s="319"/>
    </row>
    <row r="18" spans="1:39" ht="15.75">
      <c r="A18" s="292">
        <v>45944</v>
      </c>
      <c r="B18" s="323" t="s">
        <v>572</v>
      </c>
      <c r="C18" s="49" t="s">
        <v>475</v>
      </c>
      <c r="D18" s="49" t="s">
        <v>476</v>
      </c>
      <c r="E18" s="50" t="s">
        <v>614</v>
      </c>
      <c r="F18" s="300" t="s">
        <v>459</v>
      </c>
      <c r="G18" s="158" t="s">
        <v>73</v>
      </c>
      <c r="H18" s="108" t="s">
        <v>34</v>
      </c>
      <c r="I18" s="97" t="s">
        <v>163</v>
      </c>
      <c r="J18" s="41" t="s">
        <v>613</v>
      </c>
      <c r="K18" s="37" t="s">
        <v>572</v>
      </c>
      <c r="L18" s="181" t="s">
        <v>611</v>
      </c>
      <c r="M18" s="191" t="s">
        <v>109</v>
      </c>
      <c r="N18" s="40" t="s">
        <v>612</v>
      </c>
      <c r="AG18" s="197" t="s">
        <v>559</v>
      </c>
      <c r="AH18" s="326"/>
      <c r="AI18" s="315"/>
      <c r="AJ18" s="316"/>
      <c r="AK18" s="317"/>
      <c r="AL18" s="318"/>
      <c r="AM18" s="319"/>
    </row>
    <row r="19" spans="1:39" ht="15.75">
      <c r="A19" s="292">
        <v>45945</v>
      </c>
      <c r="B19" s="323" t="s">
        <v>630</v>
      </c>
      <c r="C19" s="49" t="s">
        <v>475</v>
      </c>
      <c r="D19" s="49" t="s">
        <v>476</v>
      </c>
      <c r="E19" s="50" t="s">
        <v>614</v>
      </c>
      <c r="F19" s="300" t="s">
        <v>459</v>
      </c>
      <c r="G19" s="158" t="s">
        <v>73</v>
      </c>
      <c r="H19" s="108" t="s">
        <v>456</v>
      </c>
      <c r="I19" s="95" t="s">
        <v>163</v>
      </c>
      <c r="J19" s="40" t="s">
        <v>612</v>
      </c>
      <c r="K19" s="191" t="s">
        <v>475</v>
      </c>
      <c r="L19" s="41" t="s">
        <v>613</v>
      </c>
      <c r="M19" s="191" t="s">
        <v>17</v>
      </c>
      <c r="N19" s="181" t="s">
        <v>611</v>
      </c>
      <c r="AG19" s="197" t="s">
        <v>560</v>
      </c>
      <c r="AH19" s="326"/>
      <c r="AI19" s="315"/>
      <c r="AJ19" s="316"/>
      <c r="AK19" s="317"/>
      <c r="AL19" s="318"/>
      <c r="AM19" s="319"/>
    </row>
    <row r="20" spans="1:39" ht="15.75">
      <c r="A20" s="292">
        <v>45946</v>
      </c>
      <c r="B20" s="323" t="s">
        <v>630</v>
      </c>
      <c r="C20" s="49" t="s">
        <v>572</v>
      </c>
      <c r="D20" s="49" t="s">
        <v>476</v>
      </c>
      <c r="E20" s="50" t="s">
        <v>614</v>
      </c>
      <c r="F20" s="300" t="s">
        <v>459</v>
      </c>
      <c r="G20" s="158" t="s">
        <v>456</v>
      </c>
      <c r="H20" s="294" t="s">
        <v>449</v>
      </c>
      <c r="I20" s="95" t="s">
        <v>614</v>
      </c>
      <c r="J20" s="181" t="s">
        <v>611</v>
      </c>
      <c r="K20" s="224" t="s">
        <v>455</v>
      </c>
      <c r="L20" s="40" t="s">
        <v>612</v>
      </c>
      <c r="M20" s="191" t="s">
        <v>446</v>
      </c>
      <c r="N20" s="41" t="s">
        <v>613</v>
      </c>
      <c r="AG20" s="197" t="s">
        <v>561</v>
      </c>
      <c r="AH20" s="326"/>
      <c r="AI20" s="331"/>
      <c r="AJ20" s="332"/>
      <c r="AK20" s="333"/>
      <c r="AL20" s="334"/>
      <c r="AM20" s="335" t="s">
        <v>607</v>
      </c>
    </row>
    <row r="21" spans="1:39" ht="15.75">
      <c r="A21" s="292">
        <v>45947</v>
      </c>
      <c r="B21" s="308" t="s">
        <v>21</v>
      </c>
      <c r="C21" s="309" t="s">
        <v>350</v>
      </c>
      <c r="D21" s="309" t="s">
        <v>446</v>
      </c>
      <c r="E21" s="310" t="s">
        <v>476</v>
      </c>
      <c r="F21" s="327" t="s">
        <v>449</v>
      </c>
      <c r="G21" s="328"/>
      <c r="H21" s="336" t="s">
        <v>34</v>
      </c>
      <c r="I21" s="97" t="s">
        <v>21</v>
      </c>
      <c r="J21" s="41" t="s">
        <v>613</v>
      </c>
      <c r="K21" s="37" t="s">
        <v>350</v>
      </c>
      <c r="L21" s="181" t="s">
        <v>611</v>
      </c>
      <c r="M21" s="191" t="s">
        <v>163</v>
      </c>
      <c r="N21" s="40" t="s">
        <v>612</v>
      </c>
      <c r="AG21" s="197" t="s">
        <v>574</v>
      </c>
      <c r="AH21" s="326"/>
      <c r="AI21" s="322"/>
      <c r="AJ21" s="317"/>
      <c r="AK21" s="317"/>
      <c r="AL21" s="318"/>
      <c r="AM21" s="319" t="s">
        <v>607</v>
      </c>
    </row>
    <row r="22" spans="1:39" ht="15.75">
      <c r="A22" s="292">
        <v>45948</v>
      </c>
      <c r="B22" s="308" t="s">
        <v>630</v>
      </c>
      <c r="C22" s="309" t="s">
        <v>456</v>
      </c>
      <c r="D22" s="309" t="s">
        <v>455</v>
      </c>
      <c r="E22" s="310" t="s">
        <v>572</v>
      </c>
      <c r="F22" s="300" t="s">
        <v>456</v>
      </c>
      <c r="G22" s="158"/>
      <c r="H22" s="108" t="s">
        <v>73</v>
      </c>
      <c r="I22" s="97" t="s">
        <v>163</v>
      </c>
      <c r="J22" s="40" t="s">
        <v>612</v>
      </c>
      <c r="K22" s="37" t="s">
        <v>456</v>
      </c>
      <c r="L22" s="41" t="s">
        <v>613</v>
      </c>
      <c r="M22" s="191" t="s">
        <v>455</v>
      </c>
      <c r="N22" s="181" t="s">
        <v>611</v>
      </c>
      <c r="AG22" s="1308" t="s">
        <v>614</v>
      </c>
      <c r="AH22" s="1309"/>
      <c r="AI22" s="337"/>
      <c r="AJ22" s="338"/>
      <c r="AK22" s="338"/>
      <c r="AL22" s="339"/>
      <c r="AM22" s="340"/>
    </row>
    <row r="23" spans="1:39" ht="15.75">
      <c r="A23" s="292">
        <v>45949</v>
      </c>
      <c r="B23" s="323" t="s">
        <v>630</v>
      </c>
      <c r="C23" s="49" t="s">
        <v>475</v>
      </c>
      <c r="D23" s="49" t="s">
        <v>476</v>
      </c>
      <c r="E23" s="50" t="s">
        <v>614</v>
      </c>
      <c r="F23" s="300" t="s">
        <v>459</v>
      </c>
      <c r="G23" s="158" t="s">
        <v>73</v>
      </c>
      <c r="H23" s="294" t="s">
        <v>449</v>
      </c>
      <c r="I23" s="95" t="s">
        <v>163</v>
      </c>
      <c r="J23" s="181" t="s">
        <v>611</v>
      </c>
      <c r="K23" s="191" t="s">
        <v>17</v>
      </c>
      <c r="L23" s="40" t="s">
        <v>612</v>
      </c>
      <c r="M23" s="191" t="s">
        <v>459</v>
      </c>
      <c r="N23" s="41" t="s">
        <v>613</v>
      </c>
    </row>
    <row r="24" spans="1:39" ht="15.75">
      <c r="A24" s="292">
        <v>45950</v>
      </c>
      <c r="B24" s="323" t="s">
        <v>630</v>
      </c>
      <c r="C24" s="49" t="s">
        <v>475</v>
      </c>
      <c r="D24" s="49" t="s">
        <v>476</v>
      </c>
      <c r="E24" s="50" t="s">
        <v>614</v>
      </c>
      <c r="F24" s="300" t="s">
        <v>459</v>
      </c>
      <c r="G24" s="158" t="s">
        <v>73</v>
      </c>
      <c r="H24" s="108" t="s">
        <v>34</v>
      </c>
      <c r="I24" s="95" t="s">
        <v>614</v>
      </c>
      <c r="J24" s="41" t="s">
        <v>613</v>
      </c>
      <c r="K24" s="191" t="s">
        <v>458</v>
      </c>
      <c r="L24" s="181" t="s">
        <v>611</v>
      </c>
      <c r="M24" s="191" t="s">
        <v>109</v>
      </c>
      <c r="N24" s="40" t="s">
        <v>612</v>
      </c>
    </row>
    <row r="25" spans="1:39" ht="15.75">
      <c r="A25" s="292">
        <v>45951</v>
      </c>
      <c r="B25" s="323" t="s">
        <v>572</v>
      </c>
      <c r="C25" s="49" t="s">
        <v>475</v>
      </c>
      <c r="D25" s="49" t="s">
        <v>476</v>
      </c>
      <c r="E25" s="50" t="s">
        <v>614</v>
      </c>
      <c r="F25" s="300" t="s">
        <v>459</v>
      </c>
      <c r="G25" s="158" t="s">
        <v>73</v>
      </c>
      <c r="H25" s="108" t="s">
        <v>456</v>
      </c>
      <c r="I25" s="97" t="s">
        <v>614</v>
      </c>
      <c r="J25" s="40" t="s">
        <v>612</v>
      </c>
      <c r="K25" s="37" t="s">
        <v>572</v>
      </c>
      <c r="L25" s="41" t="s">
        <v>613</v>
      </c>
      <c r="M25" s="191" t="s">
        <v>146</v>
      </c>
      <c r="N25" s="181" t="s">
        <v>611</v>
      </c>
    </row>
    <row r="26" spans="1:39" ht="15.75">
      <c r="A26" s="292">
        <v>45952</v>
      </c>
      <c r="B26" s="323" t="s">
        <v>630</v>
      </c>
      <c r="C26" s="49" t="s">
        <v>475</v>
      </c>
      <c r="D26" s="49" t="s">
        <v>476</v>
      </c>
      <c r="E26" s="50" t="s">
        <v>614</v>
      </c>
      <c r="F26" s="300" t="s">
        <v>459</v>
      </c>
      <c r="G26" s="158" t="s">
        <v>73</v>
      </c>
      <c r="H26" s="294" t="s">
        <v>449</v>
      </c>
      <c r="I26" s="97" t="s">
        <v>163</v>
      </c>
      <c r="J26" s="181" t="s">
        <v>611</v>
      </c>
      <c r="K26" s="37" t="s">
        <v>475</v>
      </c>
      <c r="L26" s="40" t="s">
        <v>612</v>
      </c>
      <c r="M26" s="191" t="s">
        <v>453</v>
      </c>
      <c r="N26" s="41" t="s">
        <v>613</v>
      </c>
    </row>
    <row r="27" spans="1:39" ht="15.75">
      <c r="A27" s="292">
        <v>45953</v>
      </c>
      <c r="B27" s="323" t="s">
        <v>630</v>
      </c>
      <c r="C27" s="49" t="s">
        <v>572</v>
      </c>
      <c r="D27" s="49" t="s">
        <v>476</v>
      </c>
      <c r="E27" s="50" t="s">
        <v>614</v>
      </c>
      <c r="F27" s="300" t="s">
        <v>459</v>
      </c>
      <c r="G27" s="158" t="s">
        <v>449</v>
      </c>
      <c r="H27" s="108" t="s">
        <v>34</v>
      </c>
      <c r="I27" s="95"/>
      <c r="J27" s="41" t="s">
        <v>613</v>
      </c>
      <c r="K27" s="191" t="s">
        <v>458</v>
      </c>
      <c r="L27" s="181" t="s">
        <v>611</v>
      </c>
      <c r="M27" s="191" t="s">
        <v>163</v>
      </c>
      <c r="N27" s="40" t="s">
        <v>612</v>
      </c>
    </row>
    <row r="28" spans="1:39" ht="15.75">
      <c r="A28" s="292">
        <v>45954</v>
      </c>
      <c r="B28" s="308" t="s">
        <v>458</v>
      </c>
      <c r="C28" s="309" t="s">
        <v>350</v>
      </c>
      <c r="D28" s="309" t="s">
        <v>446</v>
      </c>
      <c r="E28" s="310" t="s">
        <v>476</v>
      </c>
      <c r="F28" s="327" t="s">
        <v>34</v>
      </c>
      <c r="G28" s="328"/>
      <c r="H28" s="336" t="s">
        <v>456</v>
      </c>
      <c r="I28" s="95"/>
      <c r="J28" s="40" t="s">
        <v>612</v>
      </c>
      <c r="K28" s="191" t="s">
        <v>350</v>
      </c>
      <c r="L28" s="41" t="s">
        <v>613</v>
      </c>
      <c r="M28" s="191" t="s">
        <v>446</v>
      </c>
      <c r="N28" s="181" t="s">
        <v>611</v>
      </c>
    </row>
    <row r="29" spans="1:39" ht="15.75">
      <c r="A29" s="292">
        <v>45955</v>
      </c>
      <c r="B29" s="308" t="s">
        <v>630</v>
      </c>
      <c r="C29" s="309" t="s">
        <v>475</v>
      </c>
      <c r="D29" s="309" t="s">
        <v>455</v>
      </c>
      <c r="E29" s="310" t="s">
        <v>572</v>
      </c>
      <c r="F29" s="300" t="s">
        <v>449</v>
      </c>
      <c r="G29" s="158"/>
      <c r="H29" s="294" t="s">
        <v>73</v>
      </c>
      <c r="I29" s="97"/>
      <c r="J29" s="181" t="s">
        <v>611</v>
      </c>
      <c r="K29" s="37" t="s">
        <v>449</v>
      </c>
      <c r="L29" s="40" t="s">
        <v>612</v>
      </c>
      <c r="M29" s="191" t="s">
        <v>455</v>
      </c>
      <c r="N29" s="41" t="s">
        <v>613</v>
      </c>
    </row>
    <row r="30" spans="1:39" ht="15.75">
      <c r="A30" s="292">
        <v>45956</v>
      </c>
      <c r="B30" s="323" t="s">
        <v>630</v>
      </c>
      <c r="C30" s="49" t="s">
        <v>73</v>
      </c>
      <c r="D30" s="49" t="s">
        <v>476</v>
      </c>
      <c r="E30" s="50" t="s">
        <v>614</v>
      </c>
      <c r="F30" s="300" t="s">
        <v>456</v>
      </c>
      <c r="G30" s="158" t="s">
        <v>73</v>
      </c>
      <c r="H30" s="108" t="s">
        <v>34</v>
      </c>
      <c r="I30" s="97" t="s">
        <v>163</v>
      </c>
      <c r="J30" s="41" t="s">
        <v>613</v>
      </c>
      <c r="K30" s="37" t="s">
        <v>459</v>
      </c>
      <c r="L30" s="181" t="s">
        <v>611</v>
      </c>
      <c r="M30" s="191" t="s">
        <v>453</v>
      </c>
      <c r="N30" s="40" t="s">
        <v>612</v>
      </c>
    </row>
    <row r="31" spans="1:39" ht="15.75">
      <c r="A31" s="292">
        <v>45957</v>
      </c>
      <c r="B31" s="323" t="s">
        <v>630</v>
      </c>
      <c r="C31" s="49" t="s">
        <v>475</v>
      </c>
      <c r="D31" s="49" t="s">
        <v>476</v>
      </c>
      <c r="E31" s="50" t="s">
        <v>614</v>
      </c>
      <c r="F31" s="300" t="s">
        <v>459</v>
      </c>
      <c r="G31" s="158" t="s">
        <v>73</v>
      </c>
      <c r="H31" s="108" t="s">
        <v>456</v>
      </c>
      <c r="I31" s="95" t="s">
        <v>163</v>
      </c>
      <c r="J31" s="40" t="s">
        <v>612</v>
      </c>
      <c r="K31" s="37" t="s">
        <v>458</v>
      </c>
      <c r="L31" s="41" t="s">
        <v>613</v>
      </c>
      <c r="M31" s="191" t="s">
        <v>146</v>
      </c>
      <c r="N31" s="181" t="s">
        <v>611</v>
      </c>
    </row>
    <row r="32" spans="1:39" ht="15.75">
      <c r="A32" s="292">
        <v>45958</v>
      </c>
      <c r="B32" s="323" t="s">
        <v>572</v>
      </c>
      <c r="C32" s="49" t="s">
        <v>475</v>
      </c>
      <c r="D32" s="49" t="s">
        <v>476</v>
      </c>
      <c r="E32" s="50" t="s">
        <v>614</v>
      </c>
      <c r="F32" s="300" t="s">
        <v>459</v>
      </c>
      <c r="G32" s="158" t="s">
        <v>73</v>
      </c>
      <c r="H32" s="294" t="s">
        <v>449</v>
      </c>
      <c r="I32" s="95" t="s">
        <v>614</v>
      </c>
      <c r="J32" s="181" t="s">
        <v>611</v>
      </c>
      <c r="K32" s="205" t="s">
        <v>572</v>
      </c>
      <c r="L32" s="40" t="s">
        <v>612</v>
      </c>
      <c r="M32" s="205" t="s">
        <v>109</v>
      </c>
      <c r="N32" s="41" t="s">
        <v>613</v>
      </c>
    </row>
    <row r="33" spans="1:14" ht="15.75">
      <c r="A33" s="292">
        <v>45959</v>
      </c>
      <c r="B33" s="323" t="s">
        <v>630</v>
      </c>
      <c r="C33" s="49" t="s">
        <v>475</v>
      </c>
      <c r="D33" s="49" t="s">
        <v>476</v>
      </c>
      <c r="E33" s="50" t="s">
        <v>614</v>
      </c>
      <c r="F33" s="300" t="s">
        <v>459</v>
      </c>
      <c r="G33" s="158" t="s">
        <v>73</v>
      </c>
      <c r="H33" s="108" t="s">
        <v>34</v>
      </c>
      <c r="I33" s="97" t="s">
        <v>614</v>
      </c>
      <c r="J33" s="41" t="s">
        <v>613</v>
      </c>
      <c r="K33" s="37" t="s">
        <v>475</v>
      </c>
      <c r="L33" s="181" t="s">
        <v>611</v>
      </c>
      <c r="M33" s="191" t="s">
        <v>456</v>
      </c>
      <c r="N33" s="40" t="s">
        <v>612</v>
      </c>
    </row>
    <row r="34" spans="1:14" ht="15.75">
      <c r="A34" s="292">
        <v>45960</v>
      </c>
      <c r="B34" s="323" t="s">
        <v>630</v>
      </c>
      <c r="C34" s="49" t="s">
        <v>572</v>
      </c>
      <c r="D34" s="49" t="s">
        <v>476</v>
      </c>
      <c r="E34" s="50" t="s">
        <v>614</v>
      </c>
      <c r="F34" s="300" t="s">
        <v>459</v>
      </c>
      <c r="G34" s="158"/>
      <c r="H34" s="108" t="s">
        <v>456</v>
      </c>
      <c r="I34" s="97" t="s">
        <v>163</v>
      </c>
      <c r="J34" s="40" t="s">
        <v>612</v>
      </c>
      <c r="K34" s="37" t="s">
        <v>458</v>
      </c>
      <c r="L34" s="41" t="s">
        <v>613</v>
      </c>
      <c r="M34" s="191" t="s">
        <v>446</v>
      </c>
      <c r="N34" s="181" t="s">
        <v>611</v>
      </c>
    </row>
    <row r="35" spans="1:14" ht="15.75">
      <c r="A35" s="341">
        <v>45961</v>
      </c>
      <c r="B35" s="342" t="s">
        <v>17</v>
      </c>
      <c r="C35" s="343" t="s">
        <v>516</v>
      </c>
      <c r="D35" s="343" t="s">
        <v>446</v>
      </c>
      <c r="E35" s="344" t="s">
        <v>476</v>
      </c>
      <c r="F35" s="345" t="s">
        <v>456</v>
      </c>
      <c r="G35" s="328"/>
      <c r="H35" s="329" t="s">
        <v>449</v>
      </c>
      <c r="I35" s="346"/>
      <c r="J35" s="347"/>
      <c r="K35" s="227" t="s">
        <v>516</v>
      </c>
      <c r="L35" s="348"/>
      <c r="M35" s="228" t="s">
        <v>446</v>
      </c>
      <c r="N35" s="349"/>
    </row>
    <row r="36" spans="1:14" ht="14.25" customHeight="1">
      <c r="I36" s="350"/>
      <c r="K36" s="350"/>
    </row>
    <row r="37" spans="1:14" ht="13.5" customHeight="1"/>
    <row r="38" spans="1:14" ht="13.5" customHeight="1"/>
    <row r="39" spans="1:14" ht="13.5" customHeight="1"/>
    <row r="40" spans="1:14" ht="13.5" customHeight="1"/>
    <row r="41" spans="1:14" ht="13.5" customHeight="1"/>
    <row r="42" spans="1:14" ht="13.5" customHeight="1"/>
    <row r="43" spans="1:14" ht="13.5" customHeight="1"/>
    <row r="44" spans="1:14" ht="13.5" customHeight="1"/>
    <row r="45" spans="1:14" ht="13.5" customHeight="1"/>
    <row r="46" spans="1:14" ht="13.5" customHeight="1"/>
    <row r="47" spans="1:14" ht="13.5" customHeight="1"/>
    <row r="48" spans="1:14" ht="13.5" customHeight="1"/>
    <row r="49" ht="13.5" customHeight="1"/>
  </sheetData>
  <mergeCells count="7">
    <mergeCell ref="AG5:AH5"/>
    <mergeCell ref="AG22:AH22"/>
    <mergeCell ref="A3:A4"/>
    <mergeCell ref="A1:N2"/>
    <mergeCell ref="B3:E3"/>
    <mergeCell ref="I3:N3"/>
    <mergeCell ref="I4:J4"/>
  </mergeCells>
  <pageMargins left="0" right="0" top="0" bottom="0" header="0" footer="0"/>
  <pageSetup paperSize="9" orientation="landscape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36"/>
  <sheetViews>
    <sheetView workbookViewId="0">
      <selection activeCell="I34" sqref="I34"/>
    </sheetView>
  </sheetViews>
  <sheetFormatPr baseColWidth="10" defaultColWidth="11" defaultRowHeight="15"/>
  <cols>
    <col min="1" max="1" width="23.85546875" customWidth="1"/>
    <col min="2" max="3" width="11.5703125" customWidth="1"/>
    <col min="4" max="4" width="10" customWidth="1"/>
    <col min="5" max="5" width="11.5703125" customWidth="1"/>
    <col min="6" max="7" width="9.7109375" customWidth="1"/>
    <col min="8" max="8" width="11.28515625" customWidth="1"/>
    <col min="9" max="9" width="10.85546875" customWidth="1"/>
    <col min="10" max="10" width="2.28515625" customWidth="1"/>
    <col min="11" max="11" width="12.5703125" customWidth="1"/>
    <col min="12" max="12" width="2.28515625" customWidth="1"/>
    <col min="13" max="13" width="11.7109375" customWidth="1"/>
    <col min="14" max="14" width="2.42578125" customWidth="1"/>
    <col min="15" max="15" width="36.42578125" customWidth="1"/>
  </cols>
  <sheetData>
    <row r="1" spans="1:20" ht="18.75" customHeight="1">
      <c r="A1" s="1402" t="s">
        <v>632</v>
      </c>
      <c r="B1" s="1403"/>
      <c r="C1" s="1403"/>
      <c r="D1" s="1403"/>
      <c r="E1" s="1403"/>
      <c r="F1" s="1403"/>
      <c r="G1" s="1403"/>
      <c r="H1" s="1403"/>
      <c r="I1" s="1403"/>
      <c r="J1" s="1403"/>
      <c r="K1" s="1403"/>
      <c r="L1" s="1403"/>
      <c r="M1" s="1403"/>
      <c r="N1" s="1404"/>
      <c r="O1" s="1401"/>
      <c r="P1" s="1147"/>
      <c r="Q1" s="1147"/>
      <c r="R1" s="1147"/>
      <c r="S1" s="1147"/>
      <c r="T1" s="1147"/>
    </row>
    <row r="2" spans="1:20" ht="19.5" customHeight="1">
      <c r="A2" s="1405"/>
      <c r="B2" s="1406"/>
      <c r="C2" s="1406"/>
      <c r="D2" s="1406"/>
      <c r="E2" s="1406"/>
      <c r="F2" s="1406"/>
      <c r="G2" s="1406"/>
      <c r="H2" s="1406"/>
      <c r="I2" s="1406"/>
      <c r="J2" s="1406"/>
      <c r="K2" s="1406"/>
      <c r="L2" s="1406"/>
      <c r="M2" s="1406"/>
      <c r="N2" s="1407"/>
      <c r="O2" s="1401"/>
      <c r="P2" s="1147"/>
      <c r="Q2" s="1147"/>
      <c r="R2" s="1147"/>
      <c r="S2" s="1147"/>
      <c r="T2" s="1147"/>
    </row>
    <row r="3" spans="1:20" ht="18.75">
      <c r="A3" s="1356"/>
      <c r="B3" s="1408" t="s">
        <v>633</v>
      </c>
      <c r="C3" s="1409"/>
      <c r="D3" s="1409"/>
      <c r="E3" s="1410"/>
      <c r="F3" s="229" t="s">
        <v>542</v>
      </c>
      <c r="G3" s="230" t="s">
        <v>634</v>
      </c>
      <c r="H3" s="231" t="s">
        <v>157</v>
      </c>
      <c r="I3" s="1411" t="s">
        <v>635</v>
      </c>
      <c r="J3" s="1412"/>
      <c r="K3" s="1389" t="s">
        <v>636</v>
      </c>
      <c r="L3" s="1385"/>
      <c r="M3" s="1385"/>
      <c r="N3" s="4"/>
      <c r="O3" s="211"/>
      <c r="P3" s="7" t="s">
        <v>637</v>
      </c>
      <c r="Q3" s="7" t="s">
        <v>638</v>
      </c>
      <c r="R3" s="8" t="s">
        <v>639</v>
      </c>
      <c r="S3" s="9" t="s">
        <v>640</v>
      </c>
      <c r="T3" s="8" t="s">
        <v>479</v>
      </c>
    </row>
    <row r="4" spans="1:20" ht="15.75">
      <c r="A4" s="1357"/>
      <c r="B4" s="232" t="s">
        <v>641</v>
      </c>
      <c r="C4" s="233" t="s">
        <v>642</v>
      </c>
      <c r="D4" s="233" t="s">
        <v>643</v>
      </c>
      <c r="E4" s="234" t="s">
        <v>644</v>
      </c>
      <c r="F4" s="235" t="s">
        <v>645</v>
      </c>
      <c r="G4" s="236" t="s">
        <v>625</v>
      </c>
      <c r="H4" s="237" t="s">
        <v>625</v>
      </c>
      <c r="I4" s="1413"/>
      <c r="J4" s="1414"/>
      <c r="K4" s="1413"/>
      <c r="L4" s="1414"/>
      <c r="M4" s="1413"/>
      <c r="N4" s="1415"/>
      <c r="O4" s="239" t="s">
        <v>616</v>
      </c>
      <c r="P4" s="240">
        <f>COUNTIF(B5:G35,"Z,NASSIMA")</f>
        <v>6</v>
      </c>
      <c r="Q4" s="18">
        <f>COUNTIF(K5:M35,"Z,NASSIMA")</f>
        <v>0</v>
      </c>
      <c r="R4" s="18">
        <f>COUNTIF(I5:I35,"Z,NASSIMA")</f>
        <v>0</v>
      </c>
      <c r="S4" s="19">
        <f>COUNTIF(H5:H35,"Z,NASSIMA")</f>
        <v>7</v>
      </c>
      <c r="T4" s="20"/>
    </row>
    <row r="5" spans="1:20" ht="15.75">
      <c r="A5" s="241">
        <v>45962</v>
      </c>
      <c r="B5" s="242" t="s">
        <v>646</v>
      </c>
      <c r="C5" s="243" t="s">
        <v>647</v>
      </c>
      <c r="D5" s="243" t="s">
        <v>648</v>
      </c>
      <c r="E5" s="244" t="s">
        <v>649</v>
      </c>
      <c r="F5" s="245" t="s">
        <v>650</v>
      </c>
      <c r="G5" s="246" t="s">
        <v>651</v>
      </c>
      <c r="H5" s="247" t="s">
        <v>652</v>
      </c>
      <c r="I5" s="242" t="s">
        <v>647</v>
      </c>
      <c r="J5" s="244" t="s">
        <v>653</v>
      </c>
      <c r="K5" s="242" t="s">
        <v>648</v>
      </c>
      <c r="L5" s="244" t="s">
        <v>654</v>
      </c>
      <c r="M5" s="242" t="s">
        <v>655</v>
      </c>
      <c r="N5" s="248" t="s">
        <v>656</v>
      </c>
      <c r="O5" s="249" t="s">
        <v>618</v>
      </c>
      <c r="P5" s="240">
        <f>COUNTIF(B5:G35,"B,RANIA")</f>
        <v>0</v>
      </c>
      <c r="Q5" s="18">
        <f>COUNTIF(K5:M35,"B,RANIA")</f>
        <v>0</v>
      </c>
      <c r="R5" s="18">
        <f>COUNTIF(I5:I35,"B,RANIA")</f>
        <v>0</v>
      </c>
      <c r="S5" s="19">
        <f>COUNTIF(H5:H36,"B,RANIA")</f>
        <v>5</v>
      </c>
      <c r="T5" s="173"/>
    </row>
    <row r="6" spans="1:20" ht="15.75">
      <c r="A6" s="250">
        <v>45963</v>
      </c>
      <c r="B6" s="251" t="s">
        <v>646</v>
      </c>
      <c r="C6" s="252" t="s">
        <v>647</v>
      </c>
      <c r="D6" s="252" t="s">
        <v>657</v>
      </c>
      <c r="E6" s="253"/>
      <c r="F6" s="254" t="s">
        <v>650</v>
      </c>
      <c r="G6" s="255" t="s">
        <v>651</v>
      </c>
      <c r="H6" s="256" t="s">
        <v>655</v>
      </c>
      <c r="I6" s="251" t="s">
        <v>646</v>
      </c>
      <c r="J6" s="253" t="s">
        <v>656</v>
      </c>
      <c r="K6" s="251" t="s">
        <v>648</v>
      </c>
      <c r="L6" s="253" t="s">
        <v>653</v>
      </c>
      <c r="M6" s="251" t="s">
        <v>651</v>
      </c>
      <c r="N6" s="257" t="s">
        <v>654</v>
      </c>
      <c r="O6" s="249" t="s">
        <v>619</v>
      </c>
      <c r="P6" s="240">
        <f>COUNTIF(B5:G35,"M,YASMINE")</f>
        <v>3</v>
      </c>
      <c r="Q6" s="18">
        <f>COUNTIF(K5:M35,"M,YASMINE")</f>
        <v>7</v>
      </c>
      <c r="R6" s="18">
        <f>COUNTIF(I5:I35,"M,YASMINE")</f>
        <v>0</v>
      </c>
      <c r="S6" s="19">
        <f>COUNTIF(H5:H35,"M,YASMINE")</f>
        <v>8</v>
      </c>
      <c r="T6" s="32"/>
    </row>
    <row r="7" spans="1:20" ht="15.75">
      <c r="A7" s="250">
        <v>45964</v>
      </c>
      <c r="B7" s="251" t="s">
        <v>646</v>
      </c>
      <c r="C7" s="252" t="s">
        <v>647</v>
      </c>
      <c r="D7" s="252" t="s">
        <v>657</v>
      </c>
      <c r="E7" s="253" t="s">
        <v>658</v>
      </c>
      <c r="F7" s="254" t="s">
        <v>655</v>
      </c>
      <c r="G7" s="255" t="s">
        <v>651</v>
      </c>
      <c r="H7" s="258" t="s">
        <v>659</v>
      </c>
      <c r="I7" s="251" t="s">
        <v>660</v>
      </c>
      <c r="J7" s="253" t="s">
        <v>654</v>
      </c>
      <c r="K7" s="251" t="s">
        <v>661</v>
      </c>
      <c r="L7" s="253" t="s">
        <v>656</v>
      </c>
      <c r="M7" s="251" t="s">
        <v>662</v>
      </c>
      <c r="N7" s="257" t="s">
        <v>653</v>
      </c>
      <c r="O7" s="249" t="s">
        <v>663</v>
      </c>
      <c r="P7" s="240">
        <f>COUNTIF(B5:G35,"F,HAYAT")</f>
        <v>1</v>
      </c>
      <c r="Q7" s="18">
        <f>COUNTIF(K5:M35,"F,HAYAT")</f>
        <v>7</v>
      </c>
      <c r="R7" s="18">
        <f>COUNTIF(I5:I35,"F,HAYAT")</f>
        <v>0</v>
      </c>
      <c r="S7" s="19">
        <f>COUNTIF(H5:H35,"F,HAYAT")</f>
        <v>7</v>
      </c>
      <c r="T7" s="32"/>
    </row>
    <row r="8" spans="1:20" ht="15.75">
      <c r="A8" s="250">
        <v>45965</v>
      </c>
      <c r="B8" s="251" t="s">
        <v>660</v>
      </c>
      <c r="C8" s="252" t="s">
        <v>647</v>
      </c>
      <c r="D8" s="252" t="s">
        <v>649</v>
      </c>
      <c r="E8" s="253" t="s">
        <v>658</v>
      </c>
      <c r="F8" s="254" t="s">
        <v>650</v>
      </c>
      <c r="G8" s="255" t="s">
        <v>651</v>
      </c>
      <c r="H8" s="256" t="s">
        <v>662</v>
      </c>
      <c r="I8" s="251" t="s">
        <v>660</v>
      </c>
      <c r="J8" s="253" t="s">
        <v>653</v>
      </c>
      <c r="K8" s="251" t="s">
        <v>649</v>
      </c>
      <c r="L8" s="253" t="s">
        <v>654</v>
      </c>
      <c r="M8" s="251" t="s">
        <v>648</v>
      </c>
      <c r="N8" s="257" t="s">
        <v>656</v>
      </c>
      <c r="O8" s="259" t="s">
        <v>621</v>
      </c>
      <c r="P8" s="240">
        <f>COUNTIF(B5:G35,"O,SOUMIA")</f>
        <v>15</v>
      </c>
      <c r="Q8" s="18">
        <f>COUNTIF(K5:M35,"O,SOUMIA")</f>
        <v>9</v>
      </c>
      <c r="R8" s="18">
        <f>COUNTIF(I5:I39,"O,SOUMIA")</f>
        <v>0</v>
      </c>
      <c r="S8" s="19">
        <f>COUNTIF(H5:H35,"O,SOUMIA")</f>
        <v>2</v>
      </c>
      <c r="T8" s="32" t="s">
        <v>629</v>
      </c>
    </row>
    <row r="9" spans="1:20" ht="15.75">
      <c r="A9" s="250">
        <v>45966</v>
      </c>
      <c r="B9" s="251" t="s">
        <v>646</v>
      </c>
      <c r="C9" s="252" t="s">
        <v>647</v>
      </c>
      <c r="D9" s="252" t="s">
        <v>657</v>
      </c>
      <c r="E9" s="253" t="s">
        <v>658</v>
      </c>
      <c r="F9" s="254" t="s">
        <v>650</v>
      </c>
      <c r="G9" s="255" t="s">
        <v>651</v>
      </c>
      <c r="H9" s="256" t="s">
        <v>652</v>
      </c>
      <c r="I9" s="251" t="s">
        <v>664</v>
      </c>
      <c r="J9" s="253" t="s">
        <v>656</v>
      </c>
      <c r="K9" s="251" t="s">
        <v>650</v>
      </c>
      <c r="L9" s="253" t="s">
        <v>653</v>
      </c>
      <c r="M9" s="251" t="s">
        <v>665</v>
      </c>
      <c r="N9" s="257" t="s">
        <v>654</v>
      </c>
      <c r="O9" s="260" t="s">
        <v>566</v>
      </c>
      <c r="P9" s="240">
        <f>COUNTIF(B5:G35,"Z,SARAH")</f>
        <v>25</v>
      </c>
      <c r="Q9" s="18">
        <f>COUNTIF(K5:M35,"Z,SARAH")</f>
        <v>4</v>
      </c>
      <c r="R9" s="18">
        <f>COUNTIF(I5:I35,"Z,SARAH")</f>
        <v>6</v>
      </c>
      <c r="S9" s="19">
        <f>COUNTIF(H5:H35,"Z,SARAH")</f>
        <v>0</v>
      </c>
      <c r="T9" s="261"/>
    </row>
    <row r="10" spans="1:20" ht="15.75">
      <c r="A10" s="250">
        <v>45967</v>
      </c>
      <c r="B10" s="251" t="s">
        <v>646</v>
      </c>
      <c r="C10" s="252" t="s">
        <v>649</v>
      </c>
      <c r="D10" s="252" t="s">
        <v>657</v>
      </c>
      <c r="E10" s="253"/>
      <c r="F10" s="254" t="s">
        <v>650</v>
      </c>
      <c r="G10" s="255" t="s">
        <v>651</v>
      </c>
      <c r="H10" s="256" t="s">
        <v>655</v>
      </c>
      <c r="I10" s="262" t="s">
        <v>666</v>
      </c>
      <c r="J10" s="253" t="s">
        <v>654</v>
      </c>
      <c r="K10" s="251" t="s">
        <v>661</v>
      </c>
      <c r="L10" s="253" t="s">
        <v>656</v>
      </c>
      <c r="M10" s="263" t="s">
        <v>650</v>
      </c>
      <c r="N10" s="257" t="s">
        <v>653</v>
      </c>
      <c r="O10" s="264" t="s">
        <v>622</v>
      </c>
      <c r="P10" s="240">
        <f>COUNTIF(B5:G35,"B,DJAMEL")</f>
        <v>0</v>
      </c>
      <c r="Q10" s="18">
        <f>COUNTIF(K5:M35,"B,DJAMEL")</f>
        <v>8</v>
      </c>
      <c r="R10" s="18">
        <f>COUNTIF(I5:I35,"B,DJAMEL")</f>
        <v>0</v>
      </c>
      <c r="S10" s="19">
        <f>COUNTIF(H5:H35,"B,DJAMEL")</f>
        <v>0</v>
      </c>
      <c r="T10" s="32"/>
    </row>
    <row r="11" spans="1:20" ht="15.75">
      <c r="A11" s="250">
        <v>45968</v>
      </c>
      <c r="B11" s="251" t="s">
        <v>660</v>
      </c>
      <c r="C11" s="265" t="s">
        <v>667</v>
      </c>
      <c r="D11" s="252" t="s">
        <v>651</v>
      </c>
      <c r="E11" s="253" t="s">
        <v>657</v>
      </c>
      <c r="F11" s="254" t="s">
        <v>650</v>
      </c>
      <c r="G11" s="255"/>
      <c r="H11" s="258" t="s">
        <v>659</v>
      </c>
      <c r="I11" s="251" t="s">
        <v>660</v>
      </c>
      <c r="J11" s="253" t="s">
        <v>653</v>
      </c>
      <c r="K11" s="263" t="s">
        <v>667</v>
      </c>
      <c r="L11" s="253" t="s">
        <v>654</v>
      </c>
      <c r="M11" s="251" t="s">
        <v>662</v>
      </c>
      <c r="N11" s="257" t="s">
        <v>656</v>
      </c>
      <c r="O11" s="266" t="s">
        <v>567</v>
      </c>
      <c r="P11" s="240">
        <f>COUNTIF(B5:G35,"B,MOHAMED")</f>
        <v>22</v>
      </c>
      <c r="Q11" s="18">
        <f>COUNTIF(K5:M35,"B,MOHAMED")</f>
        <v>0</v>
      </c>
      <c r="R11" s="18">
        <f>COUNTIF(I5:I35,"B,MOHAMED")</f>
        <v>1</v>
      </c>
      <c r="S11" s="19">
        <f>COUNTIF(H5:H35,"B,MOHAMED")</f>
        <v>0</v>
      </c>
      <c r="T11" s="32"/>
    </row>
    <row r="12" spans="1:20" ht="15.75">
      <c r="A12" s="250">
        <v>45969</v>
      </c>
      <c r="B12" s="251" t="s">
        <v>646</v>
      </c>
      <c r="C12" s="252" t="s">
        <v>647</v>
      </c>
      <c r="D12" s="252" t="s">
        <v>648</v>
      </c>
      <c r="E12" s="253" t="s">
        <v>649</v>
      </c>
      <c r="F12" s="254"/>
      <c r="G12" s="255" t="s">
        <v>651</v>
      </c>
      <c r="H12" s="256" t="s">
        <v>662</v>
      </c>
      <c r="I12" s="251" t="s">
        <v>647</v>
      </c>
      <c r="J12" s="253" t="s">
        <v>656</v>
      </c>
      <c r="K12" s="251" t="s">
        <v>648</v>
      </c>
      <c r="L12" s="253" t="s">
        <v>653</v>
      </c>
      <c r="M12" s="251" t="s">
        <v>660</v>
      </c>
      <c r="N12" s="257" t="s">
        <v>654</v>
      </c>
      <c r="O12" s="266" t="s">
        <v>568</v>
      </c>
      <c r="P12" s="240">
        <f>COUNTIF(B5:G35,"M,HICHEM")</f>
        <v>20</v>
      </c>
      <c r="Q12" s="18">
        <f>COUNTIF(K5:M38,"M,HICHEM")</f>
        <v>0</v>
      </c>
      <c r="R12" s="18">
        <f>COUNTIF(I5:I35,"M,HICHEM")</f>
        <v>0</v>
      </c>
      <c r="S12" s="19">
        <f>COUNTIF(H5:H35,"M,HICHEM")</f>
        <v>0</v>
      </c>
      <c r="T12" s="32"/>
    </row>
    <row r="13" spans="1:20" ht="15.75">
      <c r="A13" s="250">
        <v>45970</v>
      </c>
      <c r="B13" s="251" t="s">
        <v>646</v>
      </c>
      <c r="C13" s="252" t="s">
        <v>647</v>
      </c>
      <c r="D13" s="252" t="s">
        <v>657</v>
      </c>
      <c r="E13" s="253"/>
      <c r="F13" s="254" t="s">
        <v>650</v>
      </c>
      <c r="G13" s="255" t="s">
        <v>651</v>
      </c>
      <c r="H13" s="256" t="s">
        <v>652</v>
      </c>
      <c r="I13" s="251"/>
      <c r="J13" s="253" t="s">
        <v>654</v>
      </c>
      <c r="K13" s="251" t="s">
        <v>650</v>
      </c>
      <c r="L13" s="253" t="s">
        <v>656</v>
      </c>
      <c r="M13" s="251" t="s">
        <v>651</v>
      </c>
      <c r="N13" s="257" t="s">
        <v>653</v>
      </c>
      <c r="O13" s="266" t="s">
        <v>569</v>
      </c>
      <c r="P13" s="240">
        <f>COUNTIF(B5:G35,"Y,RACHID")</f>
        <v>20</v>
      </c>
      <c r="Q13" s="18">
        <f>COUNTIF(K5:M35,"Y,RACHID")</f>
        <v>0</v>
      </c>
      <c r="R13" s="18">
        <f>COUNTIF(I5:I35,"Y,RACHID")</f>
        <v>7</v>
      </c>
      <c r="S13" s="19">
        <f>COUNTIF(H5:H35,"Y,RACHID")</f>
        <v>0</v>
      </c>
      <c r="T13" s="32"/>
    </row>
    <row r="14" spans="1:20" ht="15.75">
      <c r="A14" s="250">
        <v>45971</v>
      </c>
      <c r="B14" s="251" t="s">
        <v>646</v>
      </c>
      <c r="C14" s="252" t="s">
        <v>647</v>
      </c>
      <c r="D14" s="252" t="s">
        <v>657</v>
      </c>
      <c r="E14" s="253" t="s">
        <v>658</v>
      </c>
      <c r="F14" s="254" t="s">
        <v>650</v>
      </c>
      <c r="G14" s="255"/>
      <c r="H14" s="256" t="s">
        <v>655</v>
      </c>
      <c r="I14" s="251" t="s">
        <v>651</v>
      </c>
      <c r="J14" s="253" t="s">
        <v>653</v>
      </c>
      <c r="K14" s="251" t="s">
        <v>661</v>
      </c>
      <c r="L14" s="253" t="s">
        <v>654</v>
      </c>
      <c r="M14" s="251" t="s">
        <v>648</v>
      </c>
      <c r="N14" s="257" t="s">
        <v>656</v>
      </c>
      <c r="O14" s="266" t="s">
        <v>668</v>
      </c>
      <c r="P14" s="240">
        <f>COUNTIF(B5:G35,"M,HOUCINE")</f>
        <v>2</v>
      </c>
      <c r="Q14" s="18">
        <f>COUNTIF(K5:M40,"M,HOCINE")</f>
        <v>0</v>
      </c>
      <c r="R14" s="18">
        <f>COUNTIF(I5:I35,"M,HOUCINE")</f>
        <v>11</v>
      </c>
      <c r="S14" s="19">
        <f>COUNTIF(H5:H35,"M,HOUCINE")</f>
        <v>0</v>
      </c>
      <c r="T14" s="32"/>
    </row>
    <row r="15" spans="1:20" ht="15.75">
      <c r="A15" s="250">
        <v>45972</v>
      </c>
      <c r="B15" s="251" t="s">
        <v>669</v>
      </c>
      <c r="C15" s="252" t="s">
        <v>647</v>
      </c>
      <c r="D15" s="252" t="s">
        <v>649</v>
      </c>
      <c r="E15" s="253" t="s">
        <v>658</v>
      </c>
      <c r="F15" s="254" t="s">
        <v>650</v>
      </c>
      <c r="G15" s="255" t="s">
        <v>651</v>
      </c>
      <c r="H15" s="258" t="s">
        <v>659</v>
      </c>
      <c r="I15" s="251" t="s">
        <v>660</v>
      </c>
      <c r="J15" s="253" t="s">
        <v>656</v>
      </c>
      <c r="K15" s="251" t="s">
        <v>649</v>
      </c>
      <c r="L15" s="253" t="s">
        <v>653</v>
      </c>
      <c r="M15" s="251" t="s">
        <v>662</v>
      </c>
      <c r="N15" s="257" t="s">
        <v>654</v>
      </c>
      <c r="O15" s="266" t="s">
        <v>222</v>
      </c>
      <c r="P15" s="240">
        <f>COUNTIF(B5:G35,"B,HAMZA")</f>
        <v>5</v>
      </c>
      <c r="Q15" s="18">
        <f>COUNTIF(K5:M35,"B,HAMZA")</f>
        <v>10</v>
      </c>
      <c r="R15" s="18">
        <f>COUNTIF(I5:I35,"B,HAMZA")</f>
        <v>0</v>
      </c>
      <c r="S15" s="19">
        <f>COUNTIF(H5:H35,"B,HAMZA")</f>
        <v>0</v>
      </c>
      <c r="T15" s="32"/>
    </row>
    <row r="16" spans="1:20" ht="15.75">
      <c r="A16" s="250">
        <v>45973</v>
      </c>
      <c r="B16" s="251" t="s">
        <v>646</v>
      </c>
      <c r="C16" s="252" t="s">
        <v>647</v>
      </c>
      <c r="D16" s="252" t="s">
        <v>657</v>
      </c>
      <c r="E16" s="253" t="s">
        <v>658</v>
      </c>
      <c r="F16" s="254" t="s">
        <v>650</v>
      </c>
      <c r="G16" s="255" t="s">
        <v>651</v>
      </c>
      <c r="H16" s="256" t="s">
        <v>662</v>
      </c>
      <c r="I16" s="251" t="s">
        <v>660</v>
      </c>
      <c r="J16" s="253" t="s">
        <v>654</v>
      </c>
      <c r="K16" s="251" t="s">
        <v>650</v>
      </c>
      <c r="L16" s="253" t="s">
        <v>656</v>
      </c>
      <c r="M16" s="263" t="s">
        <v>655</v>
      </c>
      <c r="N16" s="257" t="s">
        <v>653</v>
      </c>
      <c r="O16" s="266" t="s">
        <v>559</v>
      </c>
      <c r="P16" s="240">
        <f>COUNTIF(B5:G35,"T,ABDELLAH")</f>
        <v>2</v>
      </c>
      <c r="Q16" s="18">
        <f>COUNTIF(K5:M35,"T,ABDELLAH")</f>
        <v>3</v>
      </c>
      <c r="R16" s="18">
        <f>COUNTIF(I5:I35,"T,ABDELLAH")</f>
        <v>0</v>
      </c>
      <c r="S16" s="19">
        <f>COUNTIF(H5:H35,"T,ABDELLAH")</f>
        <v>0</v>
      </c>
      <c r="T16" s="32"/>
    </row>
    <row r="17" spans="1:20" ht="15.75">
      <c r="A17" s="250">
        <v>45974</v>
      </c>
      <c r="B17" s="251" t="s">
        <v>646</v>
      </c>
      <c r="C17" s="252" t="s">
        <v>670</v>
      </c>
      <c r="D17" s="252" t="s">
        <v>657</v>
      </c>
      <c r="E17" s="253"/>
      <c r="F17" s="254" t="s">
        <v>650</v>
      </c>
      <c r="G17" s="255" t="s">
        <v>651</v>
      </c>
      <c r="H17" s="267" t="s">
        <v>671</v>
      </c>
      <c r="I17" s="251" t="s">
        <v>651</v>
      </c>
      <c r="J17" s="253" t="s">
        <v>653</v>
      </c>
      <c r="K17" s="251" t="s">
        <v>661</v>
      </c>
      <c r="L17" s="253" t="s">
        <v>654</v>
      </c>
      <c r="M17" s="251" t="s">
        <v>655</v>
      </c>
      <c r="N17" s="257" t="s">
        <v>656</v>
      </c>
      <c r="O17" s="266" t="s">
        <v>560</v>
      </c>
      <c r="P17" s="240">
        <f>COUNTIF(B5:G35,"S,AHMED")</f>
        <v>0</v>
      </c>
      <c r="Q17" s="18">
        <f>COUNTIF(K5:M35,"S,AHMED")</f>
        <v>0</v>
      </c>
      <c r="R17" s="18">
        <f>COUNTIF(I5:I35,"S,AHMED")</f>
        <v>0</v>
      </c>
      <c r="S17" s="19">
        <f>COUNTIF(H5:H35,"S,AHMED")</f>
        <v>0</v>
      </c>
      <c r="T17" s="32"/>
    </row>
    <row r="18" spans="1:20" ht="15.75">
      <c r="A18" s="250">
        <v>45975</v>
      </c>
      <c r="B18" s="251" t="s">
        <v>651</v>
      </c>
      <c r="C18" s="265" t="s">
        <v>667</v>
      </c>
      <c r="D18" s="251" t="s">
        <v>672</v>
      </c>
      <c r="E18" s="253" t="s">
        <v>657</v>
      </c>
      <c r="F18" s="254"/>
      <c r="G18" s="255" t="s">
        <v>670</v>
      </c>
      <c r="H18" s="256" t="s">
        <v>655</v>
      </c>
      <c r="I18" s="251" t="s">
        <v>651</v>
      </c>
      <c r="J18" s="253" t="s">
        <v>656</v>
      </c>
      <c r="K18" s="251" t="s">
        <v>672</v>
      </c>
      <c r="L18" s="253" t="s">
        <v>653</v>
      </c>
      <c r="M18" s="263" t="s">
        <v>667</v>
      </c>
      <c r="N18" s="257" t="s">
        <v>654</v>
      </c>
      <c r="O18" s="266" t="s">
        <v>673</v>
      </c>
      <c r="P18" s="240">
        <f>COUNTIF(B5:G35,"B,A/RAHMANE")</f>
        <v>4</v>
      </c>
      <c r="Q18" s="18">
        <f>COUNTIF(K5:M35,"B,A/RAHMANE")</f>
        <v>5</v>
      </c>
      <c r="R18" s="18">
        <f>COUNTIF(I5:I35,"B,A/RAHMANE")</f>
        <v>0</v>
      </c>
      <c r="S18" s="19">
        <f>COUNTIF(H5:H35,"B,A/RAHMANE")</f>
        <v>0</v>
      </c>
      <c r="T18" s="201"/>
    </row>
    <row r="19" spans="1:20" ht="15.75">
      <c r="A19" s="250">
        <v>45976</v>
      </c>
      <c r="B19" s="251" t="s">
        <v>646</v>
      </c>
      <c r="C19" s="252" t="s">
        <v>647</v>
      </c>
      <c r="D19" s="252" t="s">
        <v>648</v>
      </c>
      <c r="E19" s="253" t="s">
        <v>649</v>
      </c>
      <c r="F19" s="254"/>
      <c r="G19" s="255"/>
      <c r="H19" s="258" t="s">
        <v>659</v>
      </c>
      <c r="I19" s="251" t="s">
        <v>647</v>
      </c>
      <c r="J19" s="253" t="s">
        <v>654</v>
      </c>
      <c r="K19" s="251" t="s">
        <v>648</v>
      </c>
      <c r="L19" s="253" t="s">
        <v>656</v>
      </c>
      <c r="M19" s="251" t="s">
        <v>662</v>
      </c>
      <c r="N19" s="257" t="s">
        <v>653</v>
      </c>
      <c r="O19" s="266" t="s">
        <v>574</v>
      </c>
      <c r="P19" s="240">
        <f>COUNTIF(B5:E45,"R,AMINE")</f>
        <v>7</v>
      </c>
      <c r="Q19" s="18">
        <f>COUNTIF(K5:M35,"R,AMINE")</f>
        <v>3</v>
      </c>
      <c r="R19" s="18">
        <f>COUNTIF(I5:I35,"R,AMINE")</f>
        <v>0</v>
      </c>
      <c r="S19" s="19">
        <f>COUNTIF(H5:H35,"R,AMINE")</f>
        <v>0</v>
      </c>
      <c r="T19" s="32"/>
    </row>
    <row r="20" spans="1:20" ht="15.75">
      <c r="A20" s="250">
        <v>45977</v>
      </c>
      <c r="B20" s="251" t="s">
        <v>646</v>
      </c>
      <c r="C20" s="252" t="s">
        <v>647</v>
      </c>
      <c r="D20" s="252" t="s">
        <v>657</v>
      </c>
      <c r="E20" s="253" t="s">
        <v>651</v>
      </c>
      <c r="F20" s="254" t="s">
        <v>650</v>
      </c>
      <c r="G20" s="255"/>
      <c r="H20" s="256" t="s">
        <v>662</v>
      </c>
      <c r="I20" s="251" t="s">
        <v>660</v>
      </c>
      <c r="J20" s="253" t="s">
        <v>653</v>
      </c>
      <c r="K20" s="251" t="s">
        <v>650</v>
      </c>
      <c r="L20" s="253" t="s">
        <v>654</v>
      </c>
      <c r="M20" s="263" t="s">
        <v>651</v>
      </c>
      <c r="N20" s="257" t="s">
        <v>656</v>
      </c>
      <c r="O20" s="266" t="s">
        <v>674</v>
      </c>
      <c r="P20" s="268">
        <f>COUNTIF(B5:G35,"M,RAOUF")</f>
        <v>10</v>
      </c>
      <c r="Q20" s="58">
        <f>COUNTIF(K5:M35,"M,RAOUF")</f>
        <v>0</v>
      </c>
      <c r="R20" s="58">
        <f>COUNTIF(I5:I35,"M,RAOUF")</f>
        <v>1</v>
      </c>
      <c r="S20" s="59">
        <f>COUNTIF(H5:H35,"M,RAOUF")</f>
        <v>0</v>
      </c>
      <c r="T20" s="32"/>
    </row>
    <row r="21" spans="1:20" ht="15.75">
      <c r="A21" s="250">
        <v>45978</v>
      </c>
      <c r="B21" s="251" t="s">
        <v>646</v>
      </c>
      <c r="C21" s="252" t="s">
        <v>647</v>
      </c>
      <c r="D21" s="252" t="s">
        <v>657</v>
      </c>
      <c r="E21" s="253"/>
      <c r="F21" s="254" t="s">
        <v>650</v>
      </c>
      <c r="G21" s="255"/>
      <c r="H21" s="256" t="s">
        <v>652</v>
      </c>
      <c r="I21" s="251" t="s">
        <v>651</v>
      </c>
      <c r="J21" s="253" t="s">
        <v>656</v>
      </c>
      <c r="K21" s="251" t="s">
        <v>661</v>
      </c>
      <c r="L21" s="253" t="s">
        <v>653</v>
      </c>
      <c r="M21" s="251" t="s">
        <v>655</v>
      </c>
      <c r="N21" s="257" t="s">
        <v>654</v>
      </c>
      <c r="O21" s="269" t="s">
        <v>675</v>
      </c>
      <c r="P21" s="268">
        <f>COUNTIF(B5:G35,"D,NOUR")</f>
        <v>6</v>
      </c>
      <c r="Q21" s="58">
        <f>COUNTIF(K5:M35,"D,NOUR")</f>
        <v>0</v>
      </c>
      <c r="R21" s="58">
        <f>COUNTIF(I5:I35,"D,NOUR")</f>
        <v>0</v>
      </c>
      <c r="S21" s="59">
        <f>COUNTIF(H5:H35,"D,NOUR")</f>
        <v>0</v>
      </c>
      <c r="T21" s="270"/>
    </row>
    <row r="22" spans="1:20">
      <c r="A22" s="250">
        <v>45979</v>
      </c>
      <c r="B22" s="251" t="s">
        <v>651</v>
      </c>
      <c r="C22" s="252" t="s">
        <v>650</v>
      </c>
      <c r="D22" s="252" t="s">
        <v>649</v>
      </c>
      <c r="E22" s="263"/>
      <c r="F22" s="254"/>
      <c r="G22" s="255" t="s">
        <v>651</v>
      </c>
      <c r="H22" s="256" t="s">
        <v>655</v>
      </c>
      <c r="I22" s="251" t="s">
        <v>647</v>
      </c>
      <c r="J22" s="253" t="s">
        <v>654</v>
      </c>
      <c r="K22" s="251" t="s">
        <v>649</v>
      </c>
      <c r="L22" s="253" t="s">
        <v>656</v>
      </c>
      <c r="M22" s="251" t="s">
        <v>648</v>
      </c>
      <c r="N22" s="253" t="s">
        <v>653</v>
      </c>
    </row>
    <row r="23" spans="1:20">
      <c r="A23" s="250">
        <v>45980</v>
      </c>
      <c r="B23" s="251" t="s">
        <v>646</v>
      </c>
      <c r="C23" s="252" t="s">
        <v>647</v>
      </c>
      <c r="D23" s="252" t="s">
        <v>658</v>
      </c>
      <c r="E23" s="253"/>
      <c r="F23" s="254" t="s">
        <v>650</v>
      </c>
      <c r="G23" s="255" t="s">
        <v>651</v>
      </c>
      <c r="H23" s="258" t="s">
        <v>659</v>
      </c>
      <c r="I23" s="251" t="s">
        <v>660</v>
      </c>
      <c r="J23" s="253" t="s">
        <v>653</v>
      </c>
      <c r="K23" s="251" t="s">
        <v>650</v>
      </c>
      <c r="L23" s="253" t="s">
        <v>654</v>
      </c>
      <c r="M23" s="251" t="s">
        <v>662</v>
      </c>
      <c r="N23" s="253" t="s">
        <v>656</v>
      </c>
    </row>
    <row r="24" spans="1:20">
      <c r="A24" s="250">
        <v>45981</v>
      </c>
      <c r="B24" s="251" t="s">
        <v>646</v>
      </c>
      <c r="C24" s="253" t="s">
        <v>670</v>
      </c>
      <c r="D24" s="252" t="s">
        <v>657</v>
      </c>
      <c r="E24" s="271" t="s">
        <v>658</v>
      </c>
      <c r="F24" s="254" t="s">
        <v>652</v>
      </c>
      <c r="G24" s="255" t="s">
        <v>651</v>
      </c>
      <c r="H24" s="256" t="s">
        <v>662</v>
      </c>
      <c r="I24" s="251" t="s">
        <v>660</v>
      </c>
      <c r="J24" s="253" t="s">
        <v>656</v>
      </c>
      <c r="K24" s="251" t="s">
        <v>661</v>
      </c>
      <c r="L24" s="253" t="s">
        <v>653</v>
      </c>
      <c r="M24" s="251" t="s">
        <v>672</v>
      </c>
      <c r="N24" s="253" t="s">
        <v>654</v>
      </c>
    </row>
    <row r="25" spans="1:20">
      <c r="A25" s="250">
        <v>45982</v>
      </c>
      <c r="B25" s="251" t="s">
        <v>672</v>
      </c>
      <c r="C25" s="265" t="s">
        <v>670</v>
      </c>
      <c r="D25" s="252" t="s">
        <v>651</v>
      </c>
      <c r="E25" s="253" t="s">
        <v>657</v>
      </c>
      <c r="F25" s="254"/>
      <c r="G25" s="272"/>
      <c r="H25" s="256" t="s">
        <v>652</v>
      </c>
      <c r="I25" s="251" t="s">
        <v>651</v>
      </c>
      <c r="J25" s="253" t="s">
        <v>654</v>
      </c>
      <c r="K25" s="263" t="s">
        <v>672</v>
      </c>
      <c r="L25" s="253" t="s">
        <v>656</v>
      </c>
      <c r="M25" s="251" t="s">
        <v>667</v>
      </c>
      <c r="N25" s="253" t="s">
        <v>653</v>
      </c>
    </row>
    <row r="26" spans="1:20">
      <c r="A26" s="250">
        <v>45983</v>
      </c>
      <c r="B26" s="251" t="s">
        <v>646</v>
      </c>
      <c r="C26" s="252" t="s">
        <v>647</v>
      </c>
      <c r="D26" s="252" t="s">
        <v>648</v>
      </c>
      <c r="E26" s="253"/>
      <c r="F26" s="254"/>
      <c r="G26" s="255" t="s">
        <v>662</v>
      </c>
      <c r="H26" s="256" t="s">
        <v>655</v>
      </c>
      <c r="I26" s="251" t="s">
        <v>647</v>
      </c>
      <c r="J26" s="253" t="s">
        <v>653</v>
      </c>
      <c r="K26" s="251" t="s">
        <v>648</v>
      </c>
      <c r="L26" s="253" t="s">
        <v>654</v>
      </c>
      <c r="M26" s="251"/>
      <c r="N26" s="253" t="s">
        <v>656</v>
      </c>
    </row>
    <row r="27" spans="1:20">
      <c r="A27" s="250">
        <v>45984</v>
      </c>
      <c r="B27" s="251" t="s">
        <v>646</v>
      </c>
      <c r="C27" s="252" t="s">
        <v>647</v>
      </c>
      <c r="D27" s="252" t="s">
        <v>657</v>
      </c>
      <c r="E27" s="253"/>
      <c r="F27" s="254"/>
      <c r="G27" s="255" t="s">
        <v>651</v>
      </c>
      <c r="H27" s="258" t="s">
        <v>650</v>
      </c>
      <c r="I27" s="251" t="s">
        <v>660</v>
      </c>
      <c r="J27" s="253" t="s">
        <v>656</v>
      </c>
      <c r="K27" s="251" t="s">
        <v>655</v>
      </c>
      <c r="L27" s="253" t="s">
        <v>653</v>
      </c>
      <c r="M27" s="251" t="s">
        <v>662</v>
      </c>
      <c r="N27" s="253" t="s">
        <v>654</v>
      </c>
    </row>
    <row r="28" spans="1:20">
      <c r="A28" s="250">
        <v>45985</v>
      </c>
      <c r="B28" s="251" t="s">
        <v>646</v>
      </c>
      <c r="C28" s="252" t="s">
        <v>647</v>
      </c>
      <c r="D28" s="252" t="s">
        <v>657</v>
      </c>
      <c r="E28" s="253"/>
      <c r="F28" s="254" t="s">
        <v>652</v>
      </c>
      <c r="G28" s="255"/>
      <c r="H28" s="256" t="s">
        <v>662</v>
      </c>
      <c r="I28" s="251" t="s">
        <v>660</v>
      </c>
      <c r="J28" s="253" t="s">
        <v>654</v>
      </c>
      <c r="K28" s="251" t="s">
        <v>661</v>
      </c>
      <c r="L28" s="253" t="s">
        <v>656</v>
      </c>
      <c r="M28" s="251" t="s">
        <v>648</v>
      </c>
      <c r="N28" s="253" t="s">
        <v>653</v>
      </c>
    </row>
    <row r="29" spans="1:20">
      <c r="A29" s="250">
        <v>45986</v>
      </c>
      <c r="B29" s="254" t="s">
        <v>655</v>
      </c>
      <c r="C29" s="252" t="s">
        <v>647</v>
      </c>
      <c r="D29" s="263" t="s">
        <v>667</v>
      </c>
      <c r="E29" s="263" t="s">
        <v>670</v>
      </c>
      <c r="F29" s="254"/>
      <c r="G29" s="255" t="s">
        <v>651</v>
      </c>
      <c r="H29" s="256" t="s">
        <v>652</v>
      </c>
      <c r="I29" s="251" t="s">
        <v>647</v>
      </c>
      <c r="J29" s="253" t="s">
        <v>653</v>
      </c>
      <c r="K29" s="251" t="s">
        <v>655</v>
      </c>
      <c r="L29" s="253" t="s">
        <v>654</v>
      </c>
      <c r="M29" s="251" t="s">
        <v>650</v>
      </c>
      <c r="N29" s="253" t="s">
        <v>656</v>
      </c>
    </row>
    <row r="30" spans="1:20">
      <c r="A30" s="250">
        <v>45987</v>
      </c>
      <c r="B30" s="251" t="s">
        <v>646</v>
      </c>
      <c r="C30" s="252" t="s">
        <v>652</v>
      </c>
      <c r="D30" s="252" t="s">
        <v>657</v>
      </c>
      <c r="E30" s="253" t="s">
        <v>658</v>
      </c>
      <c r="F30" s="254" t="s">
        <v>652</v>
      </c>
      <c r="G30" s="255"/>
      <c r="H30" s="256" t="s">
        <v>655</v>
      </c>
      <c r="I30" s="251" t="s">
        <v>658</v>
      </c>
      <c r="J30" s="253" t="s">
        <v>656</v>
      </c>
      <c r="K30" s="251" t="s">
        <v>650</v>
      </c>
      <c r="L30" s="253" t="s">
        <v>653</v>
      </c>
      <c r="M30" s="265" t="s">
        <v>667</v>
      </c>
      <c r="N30" s="253" t="s">
        <v>654</v>
      </c>
    </row>
    <row r="31" spans="1:20">
      <c r="A31" s="250">
        <v>45988</v>
      </c>
      <c r="B31" s="251" t="s">
        <v>646</v>
      </c>
      <c r="C31" s="252" t="s">
        <v>652</v>
      </c>
      <c r="D31" s="252" t="s">
        <v>657</v>
      </c>
      <c r="E31" s="253" t="s">
        <v>658</v>
      </c>
      <c r="F31" s="254"/>
      <c r="G31" s="255" t="s">
        <v>651</v>
      </c>
      <c r="H31" s="258" t="s">
        <v>650</v>
      </c>
      <c r="I31" s="251" t="s">
        <v>660</v>
      </c>
      <c r="J31" s="253" t="s">
        <v>654</v>
      </c>
      <c r="K31" s="251" t="s">
        <v>661</v>
      </c>
      <c r="L31" s="253" t="s">
        <v>656</v>
      </c>
      <c r="M31" s="251" t="s">
        <v>662</v>
      </c>
      <c r="N31" s="253" t="s">
        <v>653</v>
      </c>
    </row>
    <row r="32" spans="1:20">
      <c r="A32" s="250">
        <v>45989</v>
      </c>
      <c r="B32" s="251" t="s">
        <v>655</v>
      </c>
      <c r="C32" s="265" t="s">
        <v>667</v>
      </c>
      <c r="D32" s="252" t="s">
        <v>651</v>
      </c>
      <c r="E32" s="253" t="s">
        <v>657</v>
      </c>
      <c r="F32" s="254"/>
      <c r="G32" s="255" t="s">
        <v>670</v>
      </c>
      <c r="H32" s="256" t="s">
        <v>662</v>
      </c>
      <c r="I32" s="251" t="s">
        <v>651</v>
      </c>
      <c r="J32" s="253" t="s">
        <v>653</v>
      </c>
      <c r="K32" s="263" t="s">
        <v>667</v>
      </c>
      <c r="L32" s="253" t="s">
        <v>654</v>
      </c>
      <c r="M32" s="273" t="s">
        <v>660</v>
      </c>
      <c r="N32" s="253" t="s">
        <v>656</v>
      </c>
    </row>
    <row r="33" spans="1:14">
      <c r="A33" s="250">
        <v>45990</v>
      </c>
      <c r="B33" s="251" t="s">
        <v>646</v>
      </c>
      <c r="C33" s="252" t="s">
        <v>647</v>
      </c>
      <c r="D33" s="252" t="s">
        <v>648</v>
      </c>
      <c r="E33" s="253"/>
      <c r="F33" s="254"/>
      <c r="G33" s="255" t="s">
        <v>651</v>
      </c>
      <c r="H33" s="256" t="s">
        <v>652</v>
      </c>
      <c r="I33" s="251" t="s">
        <v>647</v>
      </c>
      <c r="J33" s="253" t="s">
        <v>656</v>
      </c>
      <c r="K33" s="251" t="s">
        <v>648</v>
      </c>
      <c r="L33" s="253" t="s">
        <v>653</v>
      </c>
      <c r="M33" s="251" t="s">
        <v>655</v>
      </c>
      <c r="N33" s="253" t="s">
        <v>654</v>
      </c>
    </row>
    <row r="34" spans="1:14">
      <c r="A34" s="250">
        <v>45991</v>
      </c>
      <c r="B34" s="251" t="s">
        <v>646</v>
      </c>
      <c r="C34" s="252" t="s">
        <v>647</v>
      </c>
      <c r="D34" s="252" t="s">
        <v>657</v>
      </c>
      <c r="E34" s="253"/>
      <c r="F34" s="254" t="s">
        <v>652</v>
      </c>
      <c r="G34" s="255" t="s">
        <v>651</v>
      </c>
      <c r="H34" s="256" t="s">
        <v>655</v>
      </c>
      <c r="I34" s="251"/>
      <c r="J34" s="253" t="s">
        <v>654</v>
      </c>
      <c r="K34" s="251" t="s">
        <v>650</v>
      </c>
      <c r="L34" s="253" t="s">
        <v>656</v>
      </c>
      <c r="M34" s="251" t="s">
        <v>651</v>
      </c>
      <c r="N34" s="253" t="s">
        <v>653</v>
      </c>
    </row>
    <row r="35" spans="1:14">
      <c r="A35" s="274"/>
      <c r="B35" s="71"/>
      <c r="C35" s="275"/>
      <c r="D35" s="275"/>
      <c r="E35" s="276"/>
      <c r="F35" s="277"/>
      <c r="G35" s="278"/>
      <c r="H35" s="279"/>
      <c r="I35" s="71"/>
      <c r="J35" s="276"/>
      <c r="K35" s="71"/>
      <c r="L35" s="276"/>
      <c r="M35" s="71"/>
      <c r="N35" s="276"/>
    </row>
    <row r="36" spans="1:14">
      <c r="K36" s="280"/>
    </row>
  </sheetData>
  <mergeCells count="9">
    <mergeCell ref="A3:A4"/>
    <mergeCell ref="O1:T2"/>
    <mergeCell ref="A1:N2"/>
    <mergeCell ref="B3:E3"/>
    <mergeCell ref="I3:J3"/>
    <mergeCell ref="K3:M3"/>
    <mergeCell ref="I4:J4"/>
    <mergeCell ref="K4:L4"/>
    <mergeCell ref="M4:N4"/>
  </mergeCells>
  <pageMargins left="0" right="0" top="0" bottom="0" header="0" footer="0"/>
  <pageSetup paperSize="9" orientation="landscape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35"/>
  <sheetViews>
    <sheetView workbookViewId="0">
      <selection activeCell="I35" sqref="I35"/>
    </sheetView>
  </sheetViews>
  <sheetFormatPr baseColWidth="10" defaultColWidth="11" defaultRowHeight="15"/>
  <cols>
    <col min="1" max="1" width="22.28515625" customWidth="1"/>
    <col min="3" max="3" width="12.42578125" customWidth="1"/>
    <col min="5" max="5" width="10.28515625" customWidth="1"/>
    <col min="6" max="7" width="10.5703125" customWidth="1"/>
    <col min="8" max="8" width="12.28515625" customWidth="1"/>
    <col min="9" max="9" width="10" customWidth="1"/>
    <col min="10" max="10" width="3" customWidth="1"/>
    <col min="11" max="11" width="12.28515625" customWidth="1"/>
    <col min="12" max="12" width="3.28515625" customWidth="1"/>
    <col min="13" max="13" width="12.5703125" customWidth="1"/>
    <col min="14" max="14" width="3" customWidth="1"/>
    <col min="15" max="15" width="39.140625" customWidth="1"/>
  </cols>
  <sheetData>
    <row r="1" spans="1:20">
      <c r="A1" s="1394" t="s">
        <v>676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0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0" ht="18.75">
      <c r="A3" s="1355" t="s">
        <v>2</v>
      </c>
      <c r="B3" s="1385" t="s">
        <v>543</v>
      </c>
      <c r="C3" s="1385"/>
      <c r="D3" s="1385"/>
      <c r="E3" s="1386"/>
      <c r="F3" s="1416" t="s">
        <v>542</v>
      </c>
      <c r="G3" s="1417"/>
      <c r="H3" s="5" t="s">
        <v>624</v>
      </c>
      <c r="I3" s="1389" t="s">
        <v>544</v>
      </c>
      <c r="J3" s="1385"/>
      <c r="K3" s="1385"/>
      <c r="L3" s="1385"/>
      <c r="M3" s="1385"/>
      <c r="N3" s="1386"/>
      <c r="O3" s="211"/>
      <c r="P3" s="7" t="s">
        <v>637</v>
      </c>
      <c r="Q3" s="7" t="s">
        <v>638</v>
      </c>
      <c r="R3" s="8" t="s">
        <v>639</v>
      </c>
      <c r="S3" s="9" t="s">
        <v>640</v>
      </c>
      <c r="T3" s="8" t="s">
        <v>479</v>
      </c>
    </row>
    <row r="4" spans="1:20" ht="15.75">
      <c r="A4" s="1357"/>
      <c r="B4" s="11" t="s">
        <v>8</v>
      </c>
      <c r="C4" s="12" t="s">
        <v>9</v>
      </c>
      <c r="D4" s="12" t="s">
        <v>10</v>
      </c>
      <c r="E4" s="13" t="s">
        <v>7</v>
      </c>
      <c r="F4" s="14" t="s">
        <v>434</v>
      </c>
      <c r="G4" s="15" t="s">
        <v>625</v>
      </c>
      <c r="H4" s="212" t="s">
        <v>677</v>
      </c>
      <c r="I4" s="1399" t="s">
        <v>626</v>
      </c>
      <c r="J4" s="1400"/>
      <c r="K4" s="1418" t="s">
        <v>546</v>
      </c>
      <c r="L4" s="1419"/>
      <c r="M4" s="1419"/>
      <c r="N4" s="1420"/>
      <c r="O4" s="213" t="s">
        <v>616</v>
      </c>
      <c r="P4" s="18">
        <f>COUNTIF(B5:G35,"NASSIMA")</f>
        <v>17</v>
      </c>
      <c r="Q4" s="18">
        <f>COUNTIF(K5:M35,"NASSIMA")</f>
        <v>2</v>
      </c>
      <c r="R4" s="18">
        <f>COUNTIF(I5:I35,"NASSIMA")</f>
        <v>0</v>
      </c>
      <c r="S4" s="18">
        <f>COUNTIF(H5:H35,"NASSIMA")</f>
        <v>8</v>
      </c>
      <c r="T4" s="20"/>
    </row>
    <row r="5" spans="1:20" ht="15.75">
      <c r="A5" s="156">
        <v>45992</v>
      </c>
      <c r="B5" s="165" t="s">
        <v>646</v>
      </c>
      <c r="C5" s="104" t="s">
        <v>475</v>
      </c>
      <c r="D5" s="104" t="s">
        <v>476</v>
      </c>
      <c r="E5" s="166"/>
      <c r="F5" s="214" t="s">
        <v>34</v>
      </c>
      <c r="G5" s="168"/>
      <c r="H5" s="167" t="s">
        <v>73</v>
      </c>
      <c r="I5" s="170" t="s">
        <v>516</v>
      </c>
      <c r="J5" s="30" t="s">
        <v>653</v>
      </c>
      <c r="K5" s="172" t="s">
        <v>458</v>
      </c>
      <c r="L5" s="30" t="s">
        <v>654</v>
      </c>
      <c r="M5" s="172" t="s">
        <v>449</v>
      </c>
      <c r="N5" s="30" t="s">
        <v>613</v>
      </c>
      <c r="O5" s="215" t="s">
        <v>618</v>
      </c>
      <c r="P5" s="18">
        <f>COUNTIF(B5:G35,"RANIA")</f>
        <v>0</v>
      </c>
      <c r="Q5" s="18">
        <f>COUNTIF(K5:M35,"RANIA")</f>
        <v>0</v>
      </c>
      <c r="R5" s="18">
        <f>COUNTIF(I5:I35,"RANIA")</f>
        <v>0</v>
      </c>
      <c r="S5" s="18">
        <v>7</v>
      </c>
      <c r="T5" s="173"/>
    </row>
    <row r="6" spans="1:20" ht="15.75">
      <c r="A6" s="156">
        <v>45993</v>
      </c>
      <c r="B6" s="165" t="s">
        <v>516</v>
      </c>
      <c r="C6" s="104" t="s">
        <v>475</v>
      </c>
      <c r="D6" s="104" t="s">
        <v>572</v>
      </c>
      <c r="E6" s="50" t="s">
        <v>678</v>
      </c>
      <c r="F6" s="216" t="s">
        <v>73</v>
      </c>
      <c r="G6" s="168" t="s">
        <v>457</v>
      </c>
      <c r="H6" s="189" t="s">
        <v>449</v>
      </c>
      <c r="I6" s="97" t="s">
        <v>475</v>
      </c>
      <c r="J6" s="181" t="s">
        <v>656</v>
      </c>
      <c r="K6" s="37" t="s">
        <v>34</v>
      </c>
      <c r="L6" s="30" t="s">
        <v>653</v>
      </c>
      <c r="M6" s="217" t="s">
        <v>516</v>
      </c>
      <c r="N6" s="41" t="s">
        <v>612</v>
      </c>
      <c r="O6" s="215" t="s">
        <v>619</v>
      </c>
      <c r="P6" s="18">
        <v>9</v>
      </c>
      <c r="Q6" s="18">
        <f>COUNTIF(K5:M35,"YASMINE")</f>
        <v>10</v>
      </c>
      <c r="R6" s="18">
        <f>COUNTIF(I5:I37,"YASMINE")</f>
        <v>1</v>
      </c>
      <c r="S6" s="18">
        <f>COUNTIF(H5:H35,"YASMINE")</f>
        <v>7</v>
      </c>
      <c r="T6" s="32"/>
    </row>
    <row r="7" spans="1:20" ht="15.75">
      <c r="A7" s="156">
        <v>45994</v>
      </c>
      <c r="B7" s="165" t="s">
        <v>646</v>
      </c>
      <c r="C7" s="104" t="s">
        <v>34</v>
      </c>
      <c r="D7" s="104" t="s">
        <v>476</v>
      </c>
      <c r="E7" s="50"/>
      <c r="F7" s="218"/>
      <c r="G7" s="168" t="s">
        <v>457</v>
      </c>
      <c r="H7" s="200" t="s">
        <v>73</v>
      </c>
      <c r="I7" s="95" t="s">
        <v>457</v>
      </c>
      <c r="J7" s="181" t="s">
        <v>654</v>
      </c>
      <c r="K7" s="191" t="s">
        <v>475</v>
      </c>
      <c r="L7" s="181" t="s">
        <v>656</v>
      </c>
      <c r="M7" s="191" t="s">
        <v>34</v>
      </c>
      <c r="N7" s="30" t="s">
        <v>653</v>
      </c>
      <c r="O7" s="219" t="s">
        <v>620</v>
      </c>
      <c r="P7" s="18">
        <f>COUNTIF(B5:G35,"HAYAT")</f>
        <v>0</v>
      </c>
      <c r="Q7" s="18">
        <f>COUNTIF(K5:M35,"HAYAT")</f>
        <v>8</v>
      </c>
      <c r="R7" s="18">
        <f>COUNTIF(I5:I35,"HAYAT")</f>
        <v>0</v>
      </c>
      <c r="S7" s="18">
        <f>COUNTIF(H5:H35,"HAYAT")</f>
        <v>9</v>
      </c>
      <c r="T7" s="32"/>
    </row>
    <row r="8" spans="1:20" ht="15.75">
      <c r="A8" s="156">
        <v>45995</v>
      </c>
      <c r="B8" s="165" t="s">
        <v>646</v>
      </c>
      <c r="C8" s="104" t="s">
        <v>73</v>
      </c>
      <c r="D8" s="104" t="s">
        <v>476</v>
      </c>
      <c r="E8" s="50"/>
      <c r="F8" s="220"/>
      <c r="G8" s="168" t="s">
        <v>457</v>
      </c>
      <c r="H8" s="189" t="s">
        <v>34</v>
      </c>
      <c r="I8" s="95" t="s">
        <v>457</v>
      </c>
      <c r="J8" s="30" t="s">
        <v>653</v>
      </c>
      <c r="K8" s="191" t="s">
        <v>458</v>
      </c>
      <c r="L8" s="181" t="s">
        <v>654</v>
      </c>
      <c r="M8" s="191" t="s">
        <v>455</v>
      </c>
      <c r="N8" s="181" t="s">
        <v>656</v>
      </c>
      <c r="O8" s="221" t="s">
        <v>621</v>
      </c>
      <c r="P8" s="18">
        <v>13</v>
      </c>
      <c r="Q8" s="18">
        <f>COUNTIF(K5:M35,"SOUMIA")</f>
        <v>4</v>
      </c>
      <c r="R8" s="18">
        <f>COUNTIF(I5:I35,"SOUMIA")</f>
        <v>0</v>
      </c>
      <c r="S8" s="18">
        <f>COUNTIF(H5:H35,"SOUMIA")</f>
        <v>0</v>
      </c>
      <c r="T8" s="193" t="s">
        <v>629</v>
      </c>
    </row>
    <row r="9" spans="1:20" ht="15.75">
      <c r="A9" s="156">
        <v>45996</v>
      </c>
      <c r="B9" s="165" t="s">
        <v>516</v>
      </c>
      <c r="C9" s="222" t="s">
        <v>679</v>
      </c>
      <c r="D9" s="104" t="s">
        <v>457</v>
      </c>
      <c r="E9" s="50" t="s">
        <v>476</v>
      </c>
      <c r="F9" s="216"/>
      <c r="G9" s="168"/>
      <c r="H9" s="167" t="s">
        <v>456</v>
      </c>
      <c r="I9" s="170" t="s">
        <v>516</v>
      </c>
      <c r="J9" s="181" t="s">
        <v>656</v>
      </c>
      <c r="K9" s="223" t="s">
        <v>679</v>
      </c>
      <c r="L9" s="30" t="s">
        <v>653</v>
      </c>
      <c r="M9" s="191" t="s">
        <v>449</v>
      </c>
      <c r="N9" s="181" t="s">
        <v>654</v>
      </c>
      <c r="O9" s="194" t="s">
        <v>566</v>
      </c>
      <c r="P9" s="18">
        <f>COUNTIF(B5:G35,"SARAH")</f>
        <v>19</v>
      </c>
      <c r="Q9" s="18">
        <f>COUNTIF(K5:M35,"SARAH")</f>
        <v>4</v>
      </c>
      <c r="R9" s="18">
        <f>COUNTIF(I5:I35,"SARAH")</f>
        <v>13</v>
      </c>
      <c r="S9" s="18">
        <f>COUNTIF(H5:H35,"SARAH")</f>
        <v>0</v>
      </c>
      <c r="T9" s="20"/>
    </row>
    <row r="10" spans="1:20" ht="15.75">
      <c r="A10" s="156">
        <v>45997</v>
      </c>
      <c r="B10" s="165" t="s">
        <v>646</v>
      </c>
      <c r="C10" s="104" t="s">
        <v>475</v>
      </c>
      <c r="D10" s="104" t="s">
        <v>455</v>
      </c>
      <c r="E10" s="50"/>
      <c r="F10" s="216"/>
      <c r="G10" s="168" t="s">
        <v>678</v>
      </c>
      <c r="H10" s="189" t="s">
        <v>449</v>
      </c>
      <c r="I10" s="97" t="s">
        <v>475</v>
      </c>
      <c r="J10" s="181" t="s">
        <v>654</v>
      </c>
      <c r="K10" s="37" t="s">
        <v>455</v>
      </c>
      <c r="L10" s="181" t="s">
        <v>656</v>
      </c>
      <c r="M10" s="191" t="s">
        <v>516</v>
      </c>
      <c r="N10" s="30" t="s">
        <v>653</v>
      </c>
      <c r="O10" s="196" t="s">
        <v>622</v>
      </c>
      <c r="P10" s="18">
        <f>COUNTIF(B5:G35,"DJAMEL")</f>
        <v>0</v>
      </c>
      <c r="Q10" s="18">
        <f>COUNTIF(K5:M35,"DJAMEL")</f>
        <v>9</v>
      </c>
      <c r="R10" s="18">
        <f>COUNTIF(I5:I35,"DJAMEL")</f>
        <v>0</v>
      </c>
      <c r="S10" s="18">
        <f>COUNTIF(H5:H35,"DJAMEL")</f>
        <v>0</v>
      </c>
      <c r="T10" s="32"/>
    </row>
    <row r="11" spans="1:20" ht="15.75">
      <c r="A11" s="156">
        <v>45998</v>
      </c>
      <c r="B11" s="165" t="s">
        <v>646</v>
      </c>
      <c r="C11" s="104" t="s">
        <v>475</v>
      </c>
      <c r="D11" s="104" t="s">
        <v>476</v>
      </c>
      <c r="E11" s="50" t="s">
        <v>457</v>
      </c>
      <c r="F11" s="216" t="s">
        <v>34</v>
      </c>
      <c r="G11" s="168" t="s">
        <v>678</v>
      </c>
      <c r="H11" s="200" t="s">
        <v>73</v>
      </c>
      <c r="I11" s="95" t="s">
        <v>457</v>
      </c>
      <c r="J11" s="30" t="s">
        <v>653</v>
      </c>
      <c r="K11" s="223" t="s">
        <v>679</v>
      </c>
      <c r="L11" s="181" t="s">
        <v>654</v>
      </c>
      <c r="M11" s="191" t="s">
        <v>34</v>
      </c>
      <c r="N11" s="181" t="s">
        <v>656</v>
      </c>
      <c r="O11" s="197" t="s">
        <v>567</v>
      </c>
      <c r="P11" s="18">
        <f>COUNTIF(B5:G35,"B,MOHAMED")</f>
        <v>22</v>
      </c>
      <c r="Q11" s="18">
        <f>COUNTIF(K5:M35,"MOHAMED")</f>
        <v>0</v>
      </c>
      <c r="R11" s="18">
        <f>COUNTIF(I5:I35,"MOHAMED")</f>
        <v>0</v>
      </c>
      <c r="S11" s="18">
        <f>COUNTIF(H5:H35,"MOHAMED")</f>
        <v>0</v>
      </c>
      <c r="T11" s="32"/>
    </row>
    <row r="12" spans="1:20" ht="15.75">
      <c r="A12" s="156">
        <v>45999</v>
      </c>
      <c r="B12" s="165" t="s">
        <v>646</v>
      </c>
      <c r="C12" s="104" t="s">
        <v>475</v>
      </c>
      <c r="D12" s="104" t="s">
        <v>476</v>
      </c>
      <c r="E12" s="50" t="s">
        <v>680</v>
      </c>
      <c r="F12" s="220" t="s">
        <v>73</v>
      </c>
      <c r="G12" s="168" t="s">
        <v>678</v>
      </c>
      <c r="H12" s="189" t="s">
        <v>456</v>
      </c>
      <c r="I12" s="95" t="s">
        <v>457</v>
      </c>
      <c r="J12" s="181" t="s">
        <v>656</v>
      </c>
      <c r="K12" s="191" t="s">
        <v>458</v>
      </c>
      <c r="L12" s="30" t="s">
        <v>653</v>
      </c>
      <c r="M12" s="191" t="s">
        <v>455</v>
      </c>
      <c r="N12" s="181" t="s">
        <v>654</v>
      </c>
      <c r="O12" s="197" t="s">
        <v>568</v>
      </c>
      <c r="P12" s="18">
        <f>COUNTIF(B5:E38,"HICHEM")</f>
        <v>14</v>
      </c>
      <c r="Q12" s="18">
        <f>COUNTIF(K5:M38,"HICHEM")</f>
        <v>0</v>
      </c>
      <c r="R12" s="18">
        <f>COUNTIF(I5:I38,"HICHEM")</f>
        <v>0</v>
      </c>
      <c r="S12" s="18">
        <f>COUNTIF(H5:H38,"HICHEM")</f>
        <v>0</v>
      </c>
      <c r="T12" s="32"/>
    </row>
    <row r="13" spans="1:20" ht="15.75">
      <c r="A13" s="156">
        <v>46000</v>
      </c>
      <c r="B13" s="165" t="s">
        <v>516</v>
      </c>
      <c r="C13" s="104" t="s">
        <v>73</v>
      </c>
      <c r="D13" s="104" t="s">
        <v>572</v>
      </c>
      <c r="E13" s="50" t="s">
        <v>680</v>
      </c>
      <c r="F13" s="216"/>
      <c r="G13" s="168" t="s">
        <v>457</v>
      </c>
      <c r="H13" s="167" t="s">
        <v>34</v>
      </c>
      <c r="I13" s="170" t="s">
        <v>516</v>
      </c>
      <c r="J13" s="181" t="s">
        <v>654</v>
      </c>
      <c r="K13" s="37" t="s">
        <v>572</v>
      </c>
      <c r="L13" s="181" t="s">
        <v>656</v>
      </c>
      <c r="M13" s="191" t="s">
        <v>449</v>
      </c>
      <c r="N13" s="30" t="s">
        <v>653</v>
      </c>
      <c r="O13" s="197" t="s">
        <v>569</v>
      </c>
      <c r="P13" s="18">
        <f>COUNTIF(B5:G35,"RACHID")</f>
        <v>5</v>
      </c>
      <c r="Q13" s="18">
        <f>COUNTIF(K5:M35,"RACHID")</f>
        <v>1</v>
      </c>
      <c r="R13" s="18">
        <f>COUNTIF(I5:I35,"RACHID")</f>
        <v>2</v>
      </c>
      <c r="S13" s="18">
        <f>COUNTIF(H5:H35,"RACHID")</f>
        <v>0</v>
      </c>
      <c r="T13" s="32" t="s">
        <v>629</v>
      </c>
    </row>
    <row r="14" spans="1:20" ht="15.75">
      <c r="A14" s="156">
        <v>46001</v>
      </c>
      <c r="B14" s="165" t="s">
        <v>646</v>
      </c>
      <c r="C14" s="104" t="s">
        <v>34</v>
      </c>
      <c r="D14" s="104" t="s">
        <v>476</v>
      </c>
      <c r="E14" s="50" t="s">
        <v>457</v>
      </c>
      <c r="F14" s="216" t="s">
        <v>73</v>
      </c>
      <c r="G14" s="168" t="s">
        <v>678</v>
      </c>
      <c r="H14" s="189" t="s">
        <v>449</v>
      </c>
      <c r="I14" s="97" t="s">
        <v>34</v>
      </c>
      <c r="J14" s="30" t="s">
        <v>653</v>
      </c>
      <c r="K14" s="37" t="s">
        <v>516</v>
      </c>
      <c r="L14" s="181" t="s">
        <v>654</v>
      </c>
      <c r="M14" s="191" t="s">
        <v>457</v>
      </c>
      <c r="N14" s="181" t="s">
        <v>656</v>
      </c>
      <c r="O14" s="197" t="s">
        <v>558</v>
      </c>
      <c r="P14" s="18">
        <f>COUNTIF(B5:G35,"HOCINE")</f>
        <v>7</v>
      </c>
      <c r="Q14" s="18">
        <f>COUNTIF(K5:M35,"HOCINE")</f>
        <v>4</v>
      </c>
      <c r="R14" s="18">
        <f>COUNTIF(I5:I35,"HOCINE")</f>
        <v>13</v>
      </c>
      <c r="S14" s="18">
        <f>COUNTIF(H5:H35,"HOCINE")</f>
        <v>0</v>
      </c>
      <c r="T14" s="32"/>
    </row>
    <row r="15" spans="1:20" ht="15.75">
      <c r="A15" s="156">
        <v>46002</v>
      </c>
      <c r="B15" s="165" t="s">
        <v>646</v>
      </c>
      <c r="C15" s="49" t="s">
        <v>34</v>
      </c>
      <c r="D15" s="104" t="s">
        <v>476</v>
      </c>
      <c r="E15" s="50" t="s">
        <v>678</v>
      </c>
      <c r="F15" s="216" t="s">
        <v>459</v>
      </c>
      <c r="G15" s="168" t="s">
        <v>457</v>
      </c>
      <c r="H15" s="200" t="s">
        <v>73</v>
      </c>
      <c r="I15" s="95" t="s">
        <v>457</v>
      </c>
      <c r="J15" s="181" t="s">
        <v>656</v>
      </c>
      <c r="K15" s="191" t="s">
        <v>458</v>
      </c>
      <c r="L15" s="30" t="s">
        <v>653</v>
      </c>
      <c r="M15" s="191" t="s">
        <v>34</v>
      </c>
      <c r="N15" s="181" t="s">
        <v>654</v>
      </c>
      <c r="O15" s="197" t="s">
        <v>222</v>
      </c>
      <c r="P15" s="18">
        <f>COUNTIF(B5:G35,"HAMZA")</f>
        <v>5</v>
      </c>
      <c r="Q15" s="18">
        <f>COUNTIF(K5:M35,"HAMZA")</f>
        <v>9</v>
      </c>
      <c r="R15" s="18">
        <f>COUNTIF(I5:I41,"HAMZA")</f>
        <v>0</v>
      </c>
      <c r="S15" s="18">
        <f>COUNTIF(H5:H35,"HAMZA")</f>
        <v>0</v>
      </c>
      <c r="T15" s="32"/>
    </row>
    <row r="16" spans="1:20" ht="15.75">
      <c r="A16" s="156">
        <v>46003</v>
      </c>
      <c r="B16" s="165" t="s">
        <v>73</v>
      </c>
      <c r="C16" s="222" t="s">
        <v>679</v>
      </c>
      <c r="D16" s="104" t="s">
        <v>457</v>
      </c>
      <c r="E16" s="50" t="s">
        <v>476</v>
      </c>
      <c r="F16" s="216"/>
      <c r="G16" s="168" t="s">
        <v>678</v>
      </c>
      <c r="H16" s="189" t="s">
        <v>34</v>
      </c>
      <c r="I16" s="95" t="s">
        <v>457</v>
      </c>
      <c r="J16" s="181" t="s">
        <v>654</v>
      </c>
      <c r="K16" s="223" t="s">
        <v>679</v>
      </c>
      <c r="L16" s="181" t="s">
        <v>656</v>
      </c>
      <c r="M16" s="191" t="s">
        <v>73</v>
      </c>
      <c r="N16" s="30" t="s">
        <v>653</v>
      </c>
      <c r="O16" s="197" t="s">
        <v>559</v>
      </c>
      <c r="P16" s="18">
        <f>COUNTIF(B5:G35,"TCHIKOU")</f>
        <v>1</v>
      </c>
      <c r="Q16" s="18">
        <f>COUNTIF(K5:M35,"TCHIKOU")</f>
        <v>1</v>
      </c>
      <c r="R16" s="18">
        <f>COUNTIF(I5:I35,"TCHIKOU")</f>
        <v>0</v>
      </c>
      <c r="S16" s="18">
        <f>COUNTIF(H5:H35,"TCHIKOU")</f>
        <v>0</v>
      </c>
      <c r="T16" s="32"/>
    </row>
    <row r="17" spans="1:20" ht="15.75">
      <c r="A17" s="156">
        <v>46004</v>
      </c>
      <c r="B17" s="165" t="s">
        <v>646</v>
      </c>
      <c r="C17" s="49" t="s">
        <v>73</v>
      </c>
      <c r="D17" s="104" t="s">
        <v>455</v>
      </c>
      <c r="E17" s="50"/>
      <c r="F17" s="216"/>
      <c r="G17" s="168" t="s">
        <v>34</v>
      </c>
      <c r="H17" s="167" t="s">
        <v>456</v>
      </c>
      <c r="I17" s="170" t="s">
        <v>516</v>
      </c>
      <c r="J17" s="30" t="s">
        <v>653</v>
      </c>
      <c r="K17" s="191" t="s">
        <v>455</v>
      </c>
      <c r="L17" s="181" t="s">
        <v>654</v>
      </c>
      <c r="M17" s="191" t="s">
        <v>449</v>
      </c>
      <c r="N17" s="181" t="s">
        <v>656</v>
      </c>
      <c r="O17" s="197" t="s">
        <v>560</v>
      </c>
      <c r="P17" s="18">
        <f>COUNTIF(B5:G35,"AHMED")</f>
        <v>0</v>
      </c>
      <c r="Q17" s="18">
        <f>COUNTIF(K5:M35,"AHMED")</f>
        <v>0</v>
      </c>
      <c r="R17" s="18">
        <f>COUNTIF(I5:I35,"AHMED")</f>
        <v>0</v>
      </c>
      <c r="S17" s="18">
        <f>COUNTIF(H5:H35,"AHMED")</f>
        <v>0</v>
      </c>
      <c r="T17" s="32"/>
    </row>
    <row r="18" spans="1:20" ht="15.75">
      <c r="A18" s="156">
        <v>46005</v>
      </c>
      <c r="B18" s="165" t="s">
        <v>646</v>
      </c>
      <c r="C18" s="49" t="s">
        <v>73</v>
      </c>
      <c r="D18" s="104" t="s">
        <v>680</v>
      </c>
      <c r="E18" s="50" t="s">
        <v>678</v>
      </c>
      <c r="F18" s="216" t="s">
        <v>459</v>
      </c>
      <c r="G18" s="168" t="s">
        <v>457</v>
      </c>
      <c r="H18" s="189" t="s">
        <v>449</v>
      </c>
      <c r="I18" s="97" t="s">
        <v>516</v>
      </c>
      <c r="J18" s="181" t="s">
        <v>656</v>
      </c>
      <c r="K18" s="223" t="s">
        <v>679</v>
      </c>
      <c r="L18" s="30" t="s">
        <v>653</v>
      </c>
      <c r="M18" s="191" t="s">
        <v>457</v>
      </c>
      <c r="N18" s="181" t="s">
        <v>654</v>
      </c>
      <c r="O18" s="197" t="s">
        <v>561</v>
      </c>
      <c r="P18" s="18">
        <f>COUNTIF(B5:G35,"ABDERAHMANE")</f>
        <v>4</v>
      </c>
      <c r="Q18" s="18">
        <f>COUNTIF(K5:M35,"ABDERAHMANE")</f>
        <v>8</v>
      </c>
      <c r="R18" s="18">
        <f>COUNTIF(I5:I35,"ABDERAHMANE")</f>
        <v>0</v>
      </c>
      <c r="S18" s="18">
        <f>COUNTIF(H5:H35,"ABDERAHMANE")</f>
        <v>0</v>
      </c>
      <c r="T18" s="201"/>
    </row>
    <row r="19" spans="1:20" ht="15.75">
      <c r="A19" s="156">
        <v>46006</v>
      </c>
      <c r="B19" s="165" t="s">
        <v>646</v>
      </c>
      <c r="C19" s="49" t="s">
        <v>34</v>
      </c>
      <c r="D19" s="104" t="s">
        <v>476</v>
      </c>
      <c r="E19" s="50"/>
      <c r="F19" s="216" t="s">
        <v>459</v>
      </c>
      <c r="G19" s="168" t="s">
        <v>678</v>
      </c>
      <c r="H19" s="200" t="s">
        <v>73</v>
      </c>
      <c r="I19" s="95" t="s">
        <v>457</v>
      </c>
      <c r="J19" s="181" t="s">
        <v>654</v>
      </c>
      <c r="K19" s="191" t="s">
        <v>458</v>
      </c>
      <c r="L19" s="181" t="s">
        <v>656</v>
      </c>
      <c r="M19" s="191" t="s">
        <v>34</v>
      </c>
      <c r="N19" s="30" t="s">
        <v>653</v>
      </c>
      <c r="O19" s="197" t="s">
        <v>574</v>
      </c>
      <c r="P19" s="18">
        <f>COUNTIF(B5:G35,"AMINE")</f>
        <v>4</v>
      </c>
      <c r="Q19" s="18">
        <f>COUNTIF(K5:M35,"AMINE")</f>
        <v>2</v>
      </c>
      <c r="R19" s="18">
        <f>COUNTIF(I5:I35,"AMINE")</f>
        <v>0</v>
      </c>
      <c r="S19" s="18">
        <f>COUNTIF(H5:H35,"AMINE")</f>
        <v>0</v>
      </c>
      <c r="T19" s="32"/>
    </row>
    <row r="20" spans="1:20" ht="15.75">
      <c r="A20" s="156">
        <v>46007</v>
      </c>
      <c r="B20" s="165" t="s">
        <v>459</v>
      </c>
      <c r="C20" s="49" t="s">
        <v>73</v>
      </c>
      <c r="D20" s="104" t="s">
        <v>572</v>
      </c>
      <c r="E20" s="50"/>
      <c r="F20" s="216"/>
      <c r="G20" s="168"/>
      <c r="H20" s="189" t="s">
        <v>34</v>
      </c>
      <c r="I20" s="95" t="s">
        <v>457</v>
      </c>
      <c r="J20" s="30" t="s">
        <v>653</v>
      </c>
      <c r="K20" s="224" t="s">
        <v>516</v>
      </c>
      <c r="L20" s="181" t="s">
        <v>654</v>
      </c>
      <c r="M20" s="191" t="s">
        <v>459</v>
      </c>
      <c r="N20" s="181" t="s">
        <v>656</v>
      </c>
      <c r="O20" s="204" t="s">
        <v>674</v>
      </c>
      <c r="P20" s="58">
        <f>COUNTIF(B5:G35,"RAOUF")</f>
        <v>8</v>
      </c>
      <c r="Q20" s="58">
        <f>COUNTIF(K5:M35,"RAOUF")</f>
        <v>0</v>
      </c>
      <c r="R20" s="58">
        <f>COUNTIF(I5:I35,"RAOUF")</f>
        <v>0</v>
      </c>
      <c r="S20" s="58">
        <f>COUNTIF(H5:H35,"RAOUF")</f>
        <v>0</v>
      </c>
      <c r="T20" s="193"/>
    </row>
    <row r="21" spans="1:20" ht="15.75">
      <c r="A21" s="156">
        <v>46008</v>
      </c>
      <c r="B21" s="165" t="s">
        <v>646</v>
      </c>
      <c r="C21" s="49" t="s">
        <v>73</v>
      </c>
      <c r="D21" s="104" t="s">
        <v>476</v>
      </c>
      <c r="E21" s="50" t="s">
        <v>680</v>
      </c>
      <c r="F21" s="216" t="s">
        <v>459</v>
      </c>
      <c r="G21" s="168"/>
      <c r="H21" s="167" t="s">
        <v>456</v>
      </c>
      <c r="I21" s="170" t="s">
        <v>516</v>
      </c>
      <c r="J21" s="181" t="s">
        <v>656</v>
      </c>
      <c r="K21" s="37" t="s">
        <v>455</v>
      </c>
      <c r="L21" s="30" t="s">
        <v>653</v>
      </c>
      <c r="M21" s="191" t="s">
        <v>449</v>
      </c>
      <c r="N21" s="181" t="s">
        <v>654</v>
      </c>
      <c r="O21" s="204" t="s">
        <v>675</v>
      </c>
      <c r="P21" s="58">
        <f>COUNTIF(B5:G35,"NOUR")</f>
        <v>16</v>
      </c>
      <c r="Q21" s="58">
        <f>COUNTIF(K5:M35,"NOUR")</f>
        <v>0</v>
      </c>
      <c r="R21" s="58">
        <f>COUNTIF(I5:I35,"NOUR")</f>
        <v>0</v>
      </c>
      <c r="S21" s="58">
        <f>COUNTIF(H5:H35,"NOUR")</f>
        <v>0</v>
      </c>
      <c r="T21" s="58"/>
    </row>
    <row r="22" spans="1:20" ht="15.75">
      <c r="A22" s="156">
        <v>46009</v>
      </c>
      <c r="B22" s="165" t="s">
        <v>646</v>
      </c>
      <c r="C22" s="49" t="s">
        <v>73</v>
      </c>
      <c r="D22" s="104" t="s">
        <v>476</v>
      </c>
      <c r="E22" s="50" t="s">
        <v>678</v>
      </c>
      <c r="F22" s="216" t="s">
        <v>459</v>
      </c>
      <c r="G22" s="168" t="s">
        <v>457</v>
      </c>
      <c r="H22" s="189" t="s">
        <v>449</v>
      </c>
      <c r="I22" s="97" t="s">
        <v>516</v>
      </c>
      <c r="J22" s="181" t="s">
        <v>654</v>
      </c>
      <c r="K22" s="37" t="s">
        <v>458</v>
      </c>
      <c r="L22" s="181" t="s">
        <v>656</v>
      </c>
      <c r="M22" s="191" t="s">
        <v>457</v>
      </c>
      <c r="N22" s="30" t="s">
        <v>653</v>
      </c>
    </row>
    <row r="23" spans="1:20" ht="15.75">
      <c r="A23" s="156">
        <v>46010</v>
      </c>
      <c r="B23" s="165" t="s">
        <v>678</v>
      </c>
      <c r="C23" s="222" t="s">
        <v>679</v>
      </c>
      <c r="D23" s="104" t="s">
        <v>457</v>
      </c>
      <c r="E23" s="50" t="s">
        <v>476</v>
      </c>
      <c r="F23" s="216"/>
      <c r="G23" s="168"/>
      <c r="H23" s="200" t="s">
        <v>73</v>
      </c>
      <c r="I23" s="95"/>
      <c r="J23" s="30" t="s">
        <v>653</v>
      </c>
      <c r="K23" s="223" t="s">
        <v>679</v>
      </c>
      <c r="L23" s="181" t="s">
        <v>654</v>
      </c>
      <c r="M23" s="191" t="s">
        <v>34</v>
      </c>
      <c r="N23" s="181" t="s">
        <v>656</v>
      </c>
    </row>
    <row r="24" spans="1:20" ht="15.75">
      <c r="A24" s="156">
        <v>46011</v>
      </c>
      <c r="B24" s="165" t="s">
        <v>646</v>
      </c>
      <c r="C24" s="49" t="s">
        <v>73</v>
      </c>
      <c r="D24" s="104" t="s">
        <v>455</v>
      </c>
      <c r="E24" s="50" t="s">
        <v>678</v>
      </c>
      <c r="F24" s="216"/>
      <c r="G24" s="168"/>
      <c r="H24" s="189" t="s">
        <v>34</v>
      </c>
      <c r="I24" s="95" t="s">
        <v>457</v>
      </c>
      <c r="J24" s="181" t="s">
        <v>656</v>
      </c>
      <c r="K24" s="191" t="s">
        <v>455</v>
      </c>
      <c r="L24" s="30" t="s">
        <v>653</v>
      </c>
      <c r="M24" s="191" t="s">
        <v>73</v>
      </c>
      <c r="N24" s="181" t="s">
        <v>654</v>
      </c>
    </row>
    <row r="25" spans="1:20" ht="15.75">
      <c r="A25" s="156">
        <v>46012</v>
      </c>
      <c r="B25" s="165" t="s">
        <v>646</v>
      </c>
      <c r="C25" s="49" t="s">
        <v>73</v>
      </c>
      <c r="D25" s="104" t="s">
        <v>34</v>
      </c>
      <c r="E25" s="50"/>
      <c r="F25" s="216" t="s">
        <v>459</v>
      </c>
      <c r="G25" s="168"/>
      <c r="H25" s="167" t="s">
        <v>456</v>
      </c>
      <c r="I25" s="170" t="s">
        <v>516</v>
      </c>
      <c r="J25" s="181" t="s">
        <v>654</v>
      </c>
      <c r="K25" s="223" t="s">
        <v>679</v>
      </c>
      <c r="L25" s="181" t="s">
        <v>656</v>
      </c>
      <c r="M25" s="191" t="s">
        <v>449</v>
      </c>
      <c r="N25" s="30" t="s">
        <v>653</v>
      </c>
    </row>
    <row r="26" spans="1:20" ht="15.75">
      <c r="A26" s="156">
        <v>46013</v>
      </c>
      <c r="B26" s="165" t="s">
        <v>646</v>
      </c>
      <c r="C26" s="49" t="s">
        <v>680</v>
      </c>
      <c r="D26" s="104" t="s">
        <v>516</v>
      </c>
      <c r="E26" s="50" t="s">
        <v>73</v>
      </c>
      <c r="F26" s="225" t="s">
        <v>681</v>
      </c>
      <c r="G26" s="168" t="s">
        <v>678</v>
      </c>
      <c r="H26" s="189" t="s">
        <v>449</v>
      </c>
      <c r="I26" s="97" t="s">
        <v>516</v>
      </c>
      <c r="J26" s="30" t="s">
        <v>653</v>
      </c>
      <c r="K26" s="37" t="s">
        <v>458</v>
      </c>
      <c r="L26" s="181" t="s">
        <v>654</v>
      </c>
      <c r="M26" s="191" t="s">
        <v>455</v>
      </c>
      <c r="N26" s="181" t="s">
        <v>656</v>
      </c>
    </row>
    <row r="27" spans="1:20" ht="15.75">
      <c r="A27" s="156">
        <v>46014</v>
      </c>
      <c r="B27" s="165" t="s">
        <v>678</v>
      </c>
      <c r="C27" s="49" t="s">
        <v>680</v>
      </c>
      <c r="D27" s="104" t="s">
        <v>572</v>
      </c>
      <c r="E27" s="50"/>
      <c r="F27" s="216" t="s">
        <v>459</v>
      </c>
      <c r="G27" s="168" t="s">
        <v>457</v>
      </c>
      <c r="H27" s="200" t="s">
        <v>449</v>
      </c>
      <c r="I27" s="95" t="s">
        <v>457</v>
      </c>
      <c r="J27" s="181" t="s">
        <v>656</v>
      </c>
      <c r="K27" s="191" t="s">
        <v>572</v>
      </c>
      <c r="L27" s="30" t="s">
        <v>653</v>
      </c>
      <c r="M27" s="191" t="s">
        <v>34</v>
      </c>
      <c r="N27" s="181" t="s">
        <v>654</v>
      </c>
    </row>
    <row r="28" spans="1:20" ht="15.75">
      <c r="A28" s="156">
        <v>46015</v>
      </c>
      <c r="B28" s="165" t="s">
        <v>646</v>
      </c>
      <c r="C28" s="49" t="s">
        <v>455</v>
      </c>
      <c r="D28" s="104" t="s">
        <v>457</v>
      </c>
      <c r="E28" s="50"/>
      <c r="F28" s="216" t="s">
        <v>459</v>
      </c>
      <c r="G28" s="168"/>
      <c r="H28" s="189" t="s">
        <v>34</v>
      </c>
      <c r="I28" s="95" t="s">
        <v>457</v>
      </c>
      <c r="J28" s="181" t="s">
        <v>654</v>
      </c>
      <c r="K28" s="191" t="s">
        <v>455</v>
      </c>
      <c r="L28" s="181" t="s">
        <v>656</v>
      </c>
      <c r="M28" s="191" t="s">
        <v>459</v>
      </c>
      <c r="N28" s="30" t="s">
        <v>653</v>
      </c>
    </row>
    <row r="29" spans="1:20" ht="15.75">
      <c r="A29" s="156">
        <v>46016</v>
      </c>
      <c r="B29" s="165" t="s">
        <v>646</v>
      </c>
      <c r="C29" s="49" t="s">
        <v>516</v>
      </c>
      <c r="D29" s="104" t="s">
        <v>457</v>
      </c>
      <c r="E29" s="50"/>
      <c r="F29" s="216" t="s">
        <v>17</v>
      </c>
      <c r="G29" s="168"/>
      <c r="H29" s="167" t="s">
        <v>456</v>
      </c>
      <c r="I29" s="170" t="s">
        <v>516</v>
      </c>
      <c r="J29" s="30" t="s">
        <v>653</v>
      </c>
      <c r="K29" s="37" t="s">
        <v>458</v>
      </c>
      <c r="L29" s="181" t="s">
        <v>654</v>
      </c>
      <c r="M29" s="191" t="s">
        <v>449</v>
      </c>
      <c r="N29" s="181" t="s">
        <v>656</v>
      </c>
    </row>
    <row r="30" spans="1:20" ht="15.75">
      <c r="A30" s="156">
        <v>46017</v>
      </c>
      <c r="B30" s="165" t="s">
        <v>446</v>
      </c>
      <c r="C30" s="222" t="s">
        <v>679</v>
      </c>
      <c r="D30" s="104" t="s">
        <v>457</v>
      </c>
      <c r="E30" s="50"/>
      <c r="F30" s="216"/>
      <c r="G30" s="168"/>
      <c r="H30" s="189" t="s">
        <v>449</v>
      </c>
      <c r="I30" s="97" t="s">
        <v>516</v>
      </c>
      <c r="J30" s="181" t="s">
        <v>656</v>
      </c>
      <c r="K30" s="223" t="s">
        <v>679</v>
      </c>
      <c r="L30" s="30" t="s">
        <v>653</v>
      </c>
      <c r="M30" s="191" t="s">
        <v>446</v>
      </c>
      <c r="N30" s="181" t="s">
        <v>654</v>
      </c>
    </row>
    <row r="31" spans="1:20" ht="15.75">
      <c r="A31" s="156">
        <v>46018</v>
      </c>
      <c r="B31" s="165" t="s">
        <v>646</v>
      </c>
      <c r="C31" s="49" t="s">
        <v>73</v>
      </c>
      <c r="D31" s="104" t="s">
        <v>455</v>
      </c>
      <c r="E31" s="50"/>
      <c r="F31" s="216"/>
      <c r="G31" s="168" t="s">
        <v>678</v>
      </c>
      <c r="H31" s="200" t="s">
        <v>73</v>
      </c>
      <c r="I31" s="95" t="s">
        <v>457</v>
      </c>
      <c r="J31" s="181" t="s">
        <v>654</v>
      </c>
      <c r="K31" s="37" t="s">
        <v>455</v>
      </c>
      <c r="L31" s="181" t="s">
        <v>656</v>
      </c>
      <c r="M31" s="191" t="s">
        <v>34</v>
      </c>
      <c r="N31" s="30" t="s">
        <v>653</v>
      </c>
    </row>
    <row r="32" spans="1:20" ht="15.75">
      <c r="A32" s="156">
        <v>46019</v>
      </c>
      <c r="B32" s="165" t="s">
        <v>646</v>
      </c>
      <c r="C32" s="49" t="s">
        <v>73</v>
      </c>
      <c r="D32" s="104" t="s">
        <v>680</v>
      </c>
      <c r="E32" s="50"/>
      <c r="F32" s="216" t="s">
        <v>459</v>
      </c>
      <c r="G32" s="168" t="s">
        <v>457</v>
      </c>
      <c r="H32" s="189" t="s">
        <v>34</v>
      </c>
      <c r="I32" s="95" t="s">
        <v>457</v>
      </c>
      <c r="J32" s="30" t="s">
        <v>653</v>
      </c>
      <c r="K32" s="223" t="s">
        <v>679</v>
      </c>
      <c r="L32" s="181" t="s">
        <v>654</v>
      </c>
      <c r="M32" s="205" t="s">
        <v>459</v>
      </c>
      <c r="N32" s="181" t="s">
        <v>656</v>
      </c>
    </row>
    <row r="33" spans="1:14" ht="15.75">
      <c r="A33" s="156">
        <v>46020</v>
      </c>
      <c r="B33" s="165" t="s">
        <v>646</v>
      </c>
      <c r="C33" s="49" t="s">
        <v>516</v>
      </c>
      <c r="D33" s="104"/>
      <c r="E33" s="50"/>
      <c r="F33" s="216" t="s">
        <v>459</v>
      </c>
      <c r="G33" s="168"/>
      <c r="H33" s="167" t="s">
        <v>456</v>
      </c>
      <c r="I33" s="170" t="s">
        <v>516</v>
      </c>
      <c r="J33" s="181" t="s">
        <v>656</v>
      </c>
      <c r="K33" s="37" t="s">
        <v>458</v>
      </c>
      <c r="L33" s="30" t="s">
        <v>653</v>
      </c>
      <c r="M33" s="191" t="s">
        <v>449</v>
      </c>
      <c r="N33" s="181" t="s">
        <v>654</v>
      </c>
    </row>
    <row r="34" spans="1:14" ht="15.75">
      <c r="A34" s="156">
        <v>46021</v>
      </c>
      <c r="B34" s="165" t="s">
        <v>516</v>
      </c>
      <c r="C34" s="49" t="s">
        <v>73</v>
      </c>
      <c r="D34" s="104" t="s">
        <v>680</v>
      </c>
      <c r="E34" s="50" t="s">
        <v>678</v>
      </c>
      <c r="F34" s="216" t="s">
        <v>459</v>
      </c>
      <c r="G34" s="168" t="s">
        <v>457</v>
      </c>
      <c r="H34" s="189" t="s">
        <v>449</v>
      </c>
      <c r="I34" s="97" t="s">
        <v>516</v>
      </c>
      <c r="J34" s="181" t="s">
        <v>654</v>
      </c>
      <c r="K34" s="37" t="s">
        <v>459</v>
      </c>
      <c r="L34" s="181" t="s">
        <v>656</v>
      </c>
      <c r="M34" s="191" t="s">
        <v>34</v>
      </c>
      <c r="N34" s="30" t="s">
        <v>653</v>
      </c>
    </row>
    <row r="35" spans="1:14" ht="15.75">
      <c r="A35" s="160">
        <v>46022</v>
      </c>
      <c r="B35" s="226" t="s">
        <v>646</v>
      </c>
      <c r="C35" s="72" t="s">
        <v>34</v>
      </c>
      <c r="D35" s="115" t="s">
        <v>476</v>
      </c>
      <c r="E35" s="73"/>
      <c r="F35" s="216" t="s">
        <v>459</v>
      </c>
      <c r="G35" s="168" t="s">
        <v>457</v>
      </c>
      <c r="H35" s="200" t="s">
        <v>73</v>
      </c>
      <c r="I35" s="95"/>
      <c r="J35" s="207" t="s">
        <v>653</v>
      </c>
      <c r="K35" s="227" t="s">
        <v>33</v>
      </c>
      <c r="L35" s="209" t="s">
        <v>654</v>
      </c>
      <c r="M35" s="228" t="s">
        <v>34</v>
      </c>
      <c r="N35" s="209" t="s">
        <v>656</v>
      </c>
    </row>
  </sheetData>
  <mergeCells count="8">
    <mergeCell ref="A3:A4"/>
    <mergeCell ref="A1:N2"/>
    <mergeCell ref="O1:T2"/>
    <mergeCell ref="B3:E3"/>
    <mergeCell ref="F3:G3"/>
    <mergeCell ref="I3:N3"/>
    <mergeCell ref="I4:J4"/>
    <mergeCell ref="K4:N4"/>
  </mergeCells>
  <pageMargins left="0" right="0" top="0" bottom="0" header="0" footer="0"/>
  <pageSetup paperSize="9" orientation="landscape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5"/>
  <sheetViews>
    <sheetView workbookViewId="0">
      <selection activeCell="P4" sqref="P4"/>
    </sheetView>
  </sheetViews>
  <sheetFormatPr baseColWidth="10" defaultColWidth="11" defaultRowHeight="15"/>
  <cols>
    <col min="1" max="1" width="22.5703125" customWidth="1"/>
    <col min="3" max="3" width="12.140625" customWidth="1"/>
    <col min="5" max="5" width="9.5703125" customWidth="1"/>
    <col min="6" max="6" width="10.5703125" customWidth="1"/>
    <col min="7" max="7" width="9.7109375" customWidth="1"/>
    <col min="8" max="8" width="10.85546875" customWidth="1"/>
    <col min="9" max="9" width="10.140625" customWidth="1"/>
    <col min="10" max="10" width="3.28515625" customWidth="1"/>
    <col min="11" max="11" width="10.140625" customWidth="1"/>
    <col min="12" max="12" width="3.28515625" customWidth="1"/>
    <col min="13" max="13" width="9.5703125" customWidth="1"/>
    <col min="14" max="14" width="3.5703125" customWidth="1"/>
    <col min="15" max="15" width="39" customWidth="1"/>
  </cols>
  <sheetData>
    <row r="1" spans="1:20">
      <c r="A1" s="1394" t="s">
        <v>682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0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0" ht="18.75">
      <c r="A3" s="1355" t="s">
        <v>2</v>
      </c>
      <c r="B3" s="1385" t="s">
        <v>543</v>
      </c>
      <c r="C3" s="1385"/>
      <c r="D3" s="1385"/>
      <c r="E3" s="1386"/>
      <c r="F3" s="1416" t="s">
        <v>542</v>
      </c>
      <c r="G3" s="1417"/>
      <c r="H3" s="5" t="s">
        <v>624</v>
      </c>
      <c r="I3" s="1389" t="s">
        <v>544</v>
      </c>
      <c r="J3" s="1385"/>
      <c r="K3" s="1385"/>
      <c r="L3" s="1385"/>
      <c r="M3" s="1385"/>
      <c r="N3" s="1386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8" t="s">
        <v>479</v>
      </c>
    </row>
    <row r="4" spans="1:20" ht="15.75">
      <c r="A4" s="1357"/>
      <c r="B4" s="11" t="s">
        <v>8</v>
      </c>
      <c r="C4" s="12" t="s">
        <v>9</v>
      </c>
      <c r="D4" s="12" t="s">
        <v>10</v>
      </c>
      <c r="E4" s="13" t="s">
        <v>7</v>
      </c>
      <c r="F4" s="14" t="s">
        <v>434</v>
      </c>
      <c r="G4" s="15" t="s">
        <v>625</v>
      </c>
      <c r="H4" s="16" t="s">
        <v>677</v>
      </c>
      <c r="I4" s="1399" t="s">
        <v>626</v>
      </c>
      <c r="J4" s="1400"/>
      <c r="K4" s="1418" t="s">
        <v>546</v>
      </c>
      <c r="L4" s="1419"/>
      <c r="M4" s="1419"/>
      <c r="N4" s="1420"/>
      <c r="O4" s="17" t="s">
        <v>616</v>
      </c>
      <c r="P4" s="18">
        <v>9</v>
      </c>
      <c r="Q4" s="18">
        <f>COUNTIF(K5:M35,"NASSIMA")</f>
        <v>1</v>
      </c>
      <c r="R4" s="18">
        <f>COUNTIF(I5:I35,"NASSIMA")</f>
        <v>0</v>
      </c>
      <c r="S4" s="18">
        <f>COUNTIF(H5:H35,"NASSIMA")</f>
        <v>7</v>
      </c>
      <c r="T4" s="20"/>
    </row>
    <row r="5" spans="1:20" ht="15.75">
      <c r="A5" s="156">
        <v>46023</v>
      </c>
      <c r="B5" s="165" t="s">
        <v>466</v>
      </c>
      <c r="C5" s="104" t="s">
        <v>73</v>
      </c>
      <c r="D5" s="104" t="s">
        <v>476</v>
      </c>
      <c r="E5" s="166" t="s">
        <v>457</v>
      </c>
      <c r="F5" s="167" t="s">
        <v>459</v>
      </c>
      <c r="G5" s="168"/>
      <c r="H5" s="169" t="s">
        <v>34</v>
      </c>
      <c r="I5" s="170"/>
      <c r="J5" s="30" t="s">
        <v>653</v>
      </c>
      <c r="K5" s="171" t="s">
        <v>458</v>
      </c>
      <c r="L5" s="30" t="s">
        <v>654</v>
      </c>
      <c r="M5" s="172" t="s">
        <v>459</v>
      </c>
      <c r="N5" s="30" t="s">
        <v>613</v>
      </c>
      <c r="O5" s="31" t="s">
        <v>683</v>
      </c>
      <c r="P5" s="18">
        <f>COUNTIF(B5:G35,"RANIA")</f>
        <v>0</v>
      </c>
      <c r="Q5" s="18">
        <f>COUNTIF(K5:M35,"RANIA")</f>
        <v>0</v>
      </c>
      <c r="R5" s="18">
        <f>COUNTIF(I5:I35,"RANIA")</f>
        <v>0</v>
      </c>
      <c r="S5" s="18">
        <f>COUNTIF(H5:H35,"RANIA")</f>
        <v>5</v>
      </c>
      <c r="T5" s="173"/>
    </row>
    <row r="6" spans="1:20" ht="15.75">
      <c r="A6" s="156">
        <v>46024</v>
      </c>
      <c r="B6" s="174"/>
      <c r="C6" s="175" t="s">
        <v>436</v>
      </c>
      <c r="D6" s="175" t="s">
        <v>457</v>
      </c>
      <c r="E6" s="176" t="s">
        <v>476</v>
      </c>
      <c r="F6" s="177"/>
      <c r="G6" s="178"/>
      <c r="H6" s="179" t="s">
        <v>456</v>
      </c>
      <c r="I6" s="180"/>
      <c r="J6" s="181" t="s">
        <v>656</v>
      </c>
      <c r="K6" s="182" t="s">
        <v>436</v>
      </c>
      <c r="L6" s="30" t="s">
        <v>653</v>
      </c>
      <c r="M6" s="183" t="s">
        <v>449</v>
      </c>
      <c r="N6" s="41" t="s">
        <v>612</v>
      </c>
      <c r="O6" s="31" t="s">
        <v>684</v>
      </c>
      <c r="P6" s="18">
        <f>COUNTIF(B5:G35,"YASMINE")</f>
        <v>2</v>
      </c>
      <c r="Q6" s="18">
        <f>COUNTIF(K5:M35,"YASMINE")</f>
        <v>8</v>
      </c>
      <c r="R6" s="18">
        <f>COUNTIF(I5:I35,"YASMINE")</f>
        <v>1</v>
      </c>
      <c r="S6" s="18">
        <f>COUNTIF(H5:H35,"YASMINE")</f>
        <v>9</v>
      </c>
      <c r="T6" s="32"/>
    </row>
    <row r="7" spans="1:20" ht="15.75">
      <c r="A7" s="156">
        <v>46025</v>
      </c>
      <c r="B7" s="174" t="s">
        <v>466</v>
      </c>
      <c r="C7" s="175" t="s">
        <v>73</v>
      </c>
      <c r="D7" s="175" t="s">
        <v>516</v>
      </c>
      <c r="E7" s="176"/>
      <c r="F7" s="184"/>
      <c r="G7" s="178"/>
      <c r="H7" s="185" t="s">
        <v>449</v>
      </c>
      <c r="I7" s="186"/>
      <c r="J7" s="181" t="s">
        <v>654</v>
      </c>
      <c r="K7" s="182" t="s">
        <v>516</v>
      </c>
      <c r="L7" s="181" t="s">
        <v>656</v>
      </c>
      <c r="M7" s="187" t="s">
        <v>572</v>
      </c>
      <c r="N7" s="30" t="s">
        <v>653</v>
      </c>
      <c r="O7" s="188" t="s">
        <v>685</v>
      </c>
      <c r="P7" s="18">
        <f>COUNTIF(B5:G35,"HAYAT")</f>
        <v>0</v>
      </c>
      <c r="Q7" s="18">
        <f>COUNTIF(K5:M35,"HAYAT")</f>
        <v>8</v>
      </c>
      <c r="R7" s="18">
        <f>COUNTIF(I5:I35,"HAYAT")</f>
        <v>0</v>
      </c>
      <c r="S7" s="18">
        <f>COUNTIF(H5:H35,"HAYAT")</f>
        <v>8</v>
      </c>
    </row>
    <row r="8" spans="1:20" ht="15.75">
      <c r="A8" s="156">
        <v>46026</v>
      </c>
      <c r="B8" s="165" t="s">
        <v>466</v>
      </c>
      <c r="C8" s="104" t="s">
        <v>680</v>
      </c>
      <c r="D8" s="104" t="s">
        <v>457</v>
      </c>
      <c r="E8" s="166"/>
      <c r="F8" s="189" t="s">
        <v>459</v>
      </c>
      <c r="G8" s="168"/>
      <c r="H8" s="179" t="s">
        <v>73</v>
      </c>
      <c r="I8" s="95"/>
      <c r="J8" s="30" t="s">
        <v>653</v>
      </c>
      <c r="K8" s="190" t="s">
        <v>457</v>
      </c>
      <c r="L8" s="181" t="s">
        <v>654</v>
      </c>
      <c r="M8" s="191" t="s">
        <v>34</v>
      </c>
      <c r="N8" s="181" t="s">
        <v>656</v>
      </c>
      <c r="O8" s="192" t="s">
        <v>621</v>
      </c>
      <c r="P8" s="18">
        <f>COUNTIF(B5:G35,"SOUMIA")</f>
        <v>18</v>
      </c>
      <c r="Q8" s="18">
        <f>COUNTIF(K5:M35,"SOUMIA")</f>
        <v>5</v>
      </c>
      <c r="R8" s="18">
        <f>COUNTIF(I5:I35,"SOUMIA")</f>
        <v>0</v>
      </c>
      <c r="S8" s="18">
        <f>COUNTIF(H5:H35,"SOUMIA")</f>
        <v>0</v>
      </c>
      <c r="T8" s="193" t="s">
        <v>629</v>
      </c>
    </row>
    <row r="9" spans="1:20" ht="15.75">
      <c r="A9" s="156">
        <v>46027</v>
      </c>
      <c r="B9" s="165" t="s">
        <v>466</v>
      </c>
      <c r="C9" s="104" t="s">
        <v>73</v>
      </c>
      <c r="D9" s="104" t="s">
        <v>457</v>
      </c>
      <c r="E9" s="166" t="s">
        <v>457</v>
      </c>
      <c r="F9" s="189" t="s">
        <v>459</v>
      </c>
      <c r="G9" s="168"/>
      <c r="H9" s="169" t="s">
        <v>34</v>
      </c>
      <c r="I9" s="170"/>
      <c r="J9" s="181" t="s">
        <v>656</v>
      </c>
      <c r="K9" s="22" t="s">
        <v>458</v>
      </c>
      <c r="L9" s="30" t="s">
        <v>653</v>
      </c>
      <c r="M9" s="191" t="s">
        <v>436</v>
      </c>
      <c r="N9" s="181" t="s">
        <v>654</v>
      </c>
      <c r="O9" s="194" t="s">
        <v>686</v>
      </c>
      <c r="P9" s="18">
        <f>COUNTIF(B5:G35,"SARAH")</f>
        <v>18</v>
      </c>
      <c r="Q9" s="18">
        <f>COUNTIF(K5:M35,"SARAH")</f>
        <v>3</v>
      </c>
      <c r="R9" s="18">
        <f>COUNTIF(I5:I35,"SARAH")</f>
        <v>0</v>
      </c>
      <c r="S9" s="18">
        <f>COUNTIF(H5:H35,"SARAH")</f>
        <v>0</v>
      </c>
      <c r="T9" s="195" t="s">
        <v>629</v>
      </c>
    </row>
    <row r="10" spans="1:20" ht="15.75">
      <c r="A10" s="156">
        <v>46028</v>
      </c>
      <c r="B10" s="165" t="s">
        <v>457</v>
      </c>
      <c r="C10" s="104" t="s">
        <v>680</v>
      </c>
      <c r="D10" s="104" t="s">
        <v>516</v>
      </c>
      <c r="E10" s="166"/>
      <c r="F10" s="189" t="s">
        <v>459</v>
      </c>
      <c r="G10" s="168"/>
      <c r="H10" s="179" t="s">
        <v>687</v>
      </c>
      <c r="I10" s="97" t="s">
        <v>680</v>
      </c>
      <c r="J10" s="181" t="s">
        <v>654</v>
      </c>
      <c r="K10" s="190" t="s">
        <v>516</v>
      </c>
      <c r="L10" s="181" t="s">
        <v>656</v>
      </c>
      <c r="M10" s="191" t="s">
        <v>449</v>
      </c>
      <c r="N10" s="30" t="s">
        <v>653</v>
      </c>
      <c r="O10" s="196" t="s">
        <v>688</v>
      </c>
      <c r="P10" s="18">
        <f>COUNTIF(B5:G35,"DJAMEL")</f>
        <v>0</v>
      </c>
      <c r="Q10" s="18">
        <f>COUNTIF(K5:M35,"DJAMEL")</f>
        <v>9</v>
      </c>
      <c r="R10" s="18">
        <f>COUNTIF(I5:I35,"DJAMEL")</f>
        <v>0</v>
      </c>
      <c r="S10" s="18">
        <f>COUNTIF(H5:H35,"DJAMEL")</f>
        <v>0</v>
      </c>
      <c r="T10" s="32"/>
    </row>
    <row r="11" spans="1:20" ht="15.75">
      <c r="A11" s="156">
        <v>46029</v>
      </c>
      <c r="B11" s="165" t="s">
        <v>466</v>
      </c>
      <c r="C11" s="104" t="s">
        <v>689</v>
      </c>
      <c r="D11" s="104" t="s">
        <v>476</v>
      </c>
      <c r="E11" s="166" t="s">
        <v>678</v>
      </c>
      <c r="F11" s="189" t="s">
        <v>459</v>
      </c>
      <c r="G11" s="168"/>
      <c r="H11" s="185" t="s">
        <v>449</v>
      </c>
      <c r="I11" s="95" t="s">
        <v>690</v>
      </c>
      <c r="J11" s="30" t="s">
        <v>653</v>
      </c>
      <c r="K11" s="22" t="s">
        <v>459</v>
      </c>
      <c r="L11" s="181" t="s">
        <v>654</v>
      </c>
      <c r="M11" s="191" t="s">
        <v>516</v>
      </c>
      <c r="N11" s="181" t="s">
        <v>656</v>
      </c>
      <c r="O11" s="197" t="s">
        <v>691</v>
      </c>
      <c r="P11" s="18">
        <f>COUNTIF(B5:G35,"MOHAMED")</f>
        <v>21</v>
      </c>
      <c r="Q11" s="18">
        <f>COUNTIF(K5:M35,"MOHAMED")</f>
        <v>0</v>
      </c>
      <c r="R11" s="18">
        <f>COUNTIF(I5:I35,"MOHAMED")</f>
        <v>0</v>
      </c>
      <c r="S11" s="18">
        <f>COUNTIF(H5:H35,"MOHAMED")</f>
        <v>0</v>
      </c>
      <c r="T11" s="32"/>
    </row>
    <row r="12" spans="1:20" ht="15.75">
      <c r="A12" s="156">
        <v>46030</v>
      </c>
      <c r="B12" s="165" t="s">
        <v>466</v>
      </c>
      <c r="C12" s="104" t="s">
        <v>689</v>
      </c>
      <c r="D12" s="104" t="s">
        <v>476</v>
      </c>
      <c r="E12" s="166" t="s">
        <v>457</v>
      </c>
      <c r="F12" s="189" t="s">
        <v>459</v>
      </c>
      <c r="G12" s="168"/>
      <c r="H12" s="179" t="s">
        <v>73</v>
      </c>
      <c r="I12" s="95" t="s">
        <v>516</v>
      </c>
      <c r="J12" s="181" t="s">
        <v>692</v>
      </c>
      <c r="K12" s="190" t="s">
        <v>458</v>
      </c>
      <c r="L12" s="30" t="s">
        <v>653</v>
      </c>
      <c r="M12" s="191" t="s">
        <v>34</v>
      </c>
      <c r="N12" s="181" t="s">
        <v>654</v>
      </c>
      <c r="O12" s="197" t="s">
        <v>693</v>
      </c>
      <c r="P12" s="18">
        <f>COUNTIF(B5:E35,"HICHEM")</f>
        <v>19</v>
      </c>
      <c r="Q12" s="18">
        <f>COUNTIF(K5:M34,"HICHEM")</f>
        <v>0</v>
      </c>
      <c r="R12" s="18">
        <f>COUNTIF(I5:I35,"HICHEM")</f>
        <v>0</v>
      </c>
      <c r="S12" s="18">
        <f>COUNTIF(H5:H35,"HICHEM")</f>
        <v>0</v>
      </c>
      <c r="T12" s="32"/>
    </row>
    <row r="13" spans="1:20" ht="15.75">
      <c r="A13" s="156">
        <v>46031</v>
      </c>
      <c r="B13" s="174" t="s">
        <v>678</v>
      </c>
      <c r="C13" s="175" t="s">
        <v>436</v>
      </c>
      <c r="D13" s="175" t="s">
        <v>457</v>
      </c>
      <c r="E13" s="176" t="s">
        <v>476</v>
      </c>
      <c r="F13" s="198"/>
      <c r="G13" s="178"/>
      <c r="H13" s="169" t="s">
        <v>34</v>
      </c>
      <c r="I13" s="199"/>
      <c r="J13" s="181" t="s">
        <v>654</v>
      </c>
      <c r="K13" s="182" t="s">
        <v>436</v>
      </c>
      <c r="L13" s="181" t="s">
        <v>656</v>
      </c>
      <c r="M13" s="187" t="s">
        <v>73</v>
      </c>
      <c r="N13" s="30" t="s">
        <v>653</v>
      </c>
      <c r="O13" s="197" t="s">
        <v>694</v>
      </c>
      <c r="P13" s="18">
        <f>COUNTIF(B5:G35,"RACHID")</f>
        <v>16</v>
      </c>
      <c r="Q13" s="18">
        <f>COUNTIF(K5:M35,"RACHID")</f>
        <v>0</v>
      </c>
      <c r="R13" s="18">
        <f>COUNTIF(I5:I35,"RACHID")</f>
        <v>6</v>
      </c>
      <c r="S13" s="18">
        <f>COUNTIF(H5:H35,"RACHID")</f>
        <v>0</v>
      </c>
      <c r="T13" s="32" t="s">
        <v>629</v>
      </c>
    </row>
    <row r="14" spans="1:20" ht="15.75">
      <c r="A14" s="156">
        <v>46032</v>
      </c>
      <c r="B14" s="174" t="s">
        <v>466</v>
      </c>
      <c r="C14" s="175" t="s">
        <v>475</v>
      </c>
      <c r="D14" s="175" t="s">
        <v>516</v>
      </c>
      <c r="E14" s="176" t="s">
        <v>572</v>
      </c>
      <c r="F14" s="177"/>
      <c r="G14" s="178"/>
      <c r="H14" s="179" t="s">
        <v>456</v>
      </c>
      <c r="I14" s="180" t="s">
        <v>475</v>
      </c>
      <c r="J14" s="30" t="s">
        <v>653</v>
      </c>
      <c r="K14" s="182" t="s">
        <v>516</v>
      </c>
      <c r="L14" s="181" t="s">
        <v>654</v>
      </c>
      <c r="M14" s="187" t="s">
        <v>449</v>
      </c>
      <c r="N14" s="181" t="s">
        <v>656</v>
      </c>
      <c r="O14" s="197" t="s">
        <v>558</v>
      </c>
      <c r="P14" s="18">
        <f>COUNTIF(B5:G35,"HOCINE")</f>
        <v>10</v>
      </c>
      <c r="Q14" s="18">
        <f>COUNTIF(K5:M35,"HOCINE")</f>
        <v>10</v>
      </c>
      <c r="R14" s="18">
        <f>COUNTIF(I4:I35,"HOCINE")</f>
        <v>2</v>
      </c>
      <c r="S14" s="18">
        <f>COUNTIF(H5:H35,"HOCINE")</f>
        <v>0</v>
      </c>
      <c r="T14" s="32"/>
    </row>
    <row r="15" spans="1:20" ht="15.75">
      <c r="A15" s="156">
        <v>46033</v>
      </c>
      <c r="B15" s="165" t="s">
        <v>466</v>
      </c>
      <c r="C15" s="49" t="s">
        <v>475</v>
      </c>
      <c r="D15" s="104" t="s">
        <v>476</v>
      </c>
      <c r="E15" s="166" t="s">
        <v>457</v>
      </c>
      <c r="F15" s="200" t="s">
        <v>459</v>
      </c>
      <c r="G15" s="168" t="s">
        <v>680</v>
      </c>
      <c r="H15" s="185" t="s">
        <v>449</v>
      </c>
      <c r="I15" s="95" t="s">
        <v>680</v>
      </c>
      <c r="J15" s="181" t="s">
        <v>656</v>
      </c>
      <c r="K15" s="190" t="s">
        <v>457</v>
      </c>
      <c r="L15" s="30" t="s">
        <v>653</v>
      </c>
      <c r="M15" s="191" t="s">
        <v>436</v>
      </c>
      <c r="N15" s="181" t="s">
        <v>654</v>
      </c>
      <c r="O15" s="197" t="s">
        <v>222</v>
      </c>
      <c r="P15" s="18">
        <f>COUNTIF(B5:G35,"HAMZA")</f>
        <v>0</v>
      </c>
      <c r="Q15" s="18">
        <f>COUNTIF(K5:M35,"HAMZA")</f>
        <v>0</v>
      </c>
      <c r="R15" s="18">
        <f>COUNTIF(I5:I41,"HAMZA")</f>
        <v>0</v>
      </c>
      <c r="S15" s="18">
        <f>COUNTIF(H5:H35,"HAMZA")</f>
        <v>0</v>
      </c>
      <c r="T15" s="32"/>
    </row>
    <row r="16" spans="1:20" ht="15.75">
      <c r="A16" s="156">
        <v>46034</v>
      </c>
      <c r="B16" s="165" t="s">
        <v>466</v>
      </c>
      <c r="C16" s="49" t="s">
        <v>475</v>
      </c>
      <c r="D16" s="104" t="s">
        <v>476</v>
      </c>
      <c r="E16" s="166" t="s">
        <v>457</v>
      </c>
      <c r="F16" s="200" t="s">
        <v>459</v>
      </c>
      <c r="G16" s="168" t="s">
        <v>680</v>
      </c>
      <c r="H16" s="179" t="s">
        <v>73</v>
      </c>
      <c r="I16" s="95" t="s">
        <v>516</v>
      </c>
      <c r="J16" s="181" t="s">
        <v>654</v>
      </c>
      <c r="K16" s="22" t="s">
        <v>458</v>
      </c>
      <c r="L16" s="181" t="s">
        <v>656</v>
      </c>
      <c r="M16" s="191" t="s">
        <v>34</v>
      </c>
      <c r="N16" s="30" t="s">
        <v>653</v>
      </c>
      <c r="O16" s="197" t="s">
        <v>559</v>
      </c>
      <c r="P16" s="18">
        <f>COUNTIF(B5:G35,"TCHIKOU")</f>
        <v>0</v>
      </c>
      <c r="Q16" s="18">
        <f>COUNTIF(K5:M35,"TCHIKOU")</f>
        <v>0</v>
      </c>
      <c r="R16" s="18">
        <f>COUNTIF(I5:I35,"TCHIKOU")</f>
        <v>0</v>
      </c>
      <c r="S16" s="18">
        <f>COUNTIF(H5:H35,"TCHIKOU")</f>
        <v>0</v>
      </c>
      <c r="T16" s="32"/>
    </row>
    <row r="17" spans="1:20" ht="15.75">
      <c r="A17" s="156">
        <v>46035</v>
      </c>
      <c r="B17" s="165" t="s">
        <v>572</v>
      </c>
      <c r="C17" s="49" t="s">
        <v>475</v>
      </c>
      <c r="D17" s="104" t="s">
        <v>516</v>
      </c>
      <c r="E17" s="166" t="s">
        <v>457</v>
      </c>
      <c r="F17" s="200" t="s">
        <v>459</v>
      </c>
      <c r="G17" s="168"/>
      <c r="H17" s="169" t="s">
        <v>34</v>
      </c>
      <c r="I17" s="170" t="s">
        <v>475</v>
      </c>
      <c r="J17" s="30" t="s">
        <v>653</v>
      </c>
      <c r="K17" s="190" t="s">
        <v>516</v>
      </c>
      <c r="L17" s="181" t="s">
        <v>654</v>
      </c>
      <c r="M17" s="191" t="s">
        <v>459</v>
      </c>
      <c r="N17" s="181" t="s">
        <v>656</v>
      </c>
      <c r="O17" s="197" t="s">
        <v>560</v>
      </c>
      <c r="P17" s="18">
        <f>COUNTIF(B5:G35,"AHMED")</f>
        <v>0</v>
      </c>
      <c r="Q17" s="18">
        <f>COUNTIF(K5:M35,"AHMED")</f>
        <v>4</v>
      </c>
      <c r="R17" s="18">
        <f>COUNTIF(I5:I35,"AHMED")</f>
        <v>0</v>
      </c>
      <c r="S17" s="18">
        <f>COUNTIF(H5:H35,"AHMED")</f>
        <v>0</v>
      </c>
      <c r="T17" s="32"/>
    </row>
    <row r="18" spans="1:20" ht="15.75">
      <c r="A18" s="156">
        <v>46036</v>
      </c>
      <c r="B18" s="165" t="s">
        <v>466</v>
      </c>
      <c r="C18" s="49" t="s">
        <v>475</v>
      </c>
      <c r="D18" s="104" t="s">
        <v>476</v>
      </c>
      <c r="E18" s="166" t="s">
        <v>678</v>
      </c>
      <c r="F18" s="200" t="s">
        <v>459</v>
      </c>
      <c r="G18" s="168"/>
      <c r="H18" s="179" t="s">
        <v>456</v>
      </c>
      <c r="I18" s="97" t="s">
        <v>690</v>
      </c>
      <c r="J18" s="181" t="s">
        <v>656</v>
      </c>
      <c r="K18" s="22" t="s">
        <v>453</v>
      </c>
      <c r="L18" s="30" t="s">
        <v>653</v>
      </c>
      <c r="M18" s="191" t="s">
        <v>449</v>
      </c>
      <c r="N18" s="181" t="s">
        <v>654</v>
      </c>
      <c r="O18" s="197" t="s">
        <v>561</v>
      </c>
      <c r="P18" s="18">
        <f>COUNTIF(B5:G35,"ABDOU")</f>
        <v>4</v>
      </c>
      <c r="Q18" s="18">
        <f>COUNTIF(K5:M35,"ABDOU")</f>
        <v>7</v>
      </c>
      <c r="R18" s="18">
        <f>COUNTIF(I5:I35,"ABDOU")</f>
        <v>0</v>
      </c>
      <c r="S18" s="18">
        <f>COUNTIF(H5:H35,"ABDOU")</f>
        <v>0</v>
      </c>
      <c r="T18" s="201"/>
    </row>
    <row r="19" spans="1:20" ht="15.75">
      <c r="A19" s="156">
        <v>46037</v>
      </c>
      <c r="B19" s="165" t="s">
        <v>466</v>
      </c>
      <c r="C19" s="49" t="s">
        <v>73</v>
      </c>
      <c r="D19" s="104" t="s">
        <v>476</v>
      </c>
      <c r="E19" s="166" t="s">
        <v>678</v>
      </c>
      <c r="F19" s="200" t="s">
        <v>459</v>
      </c>
      <c r="G19" s="168"/>
      <c r="H19" s="185" t="s">
        <v>449</v>
      </c>
      <c r="I19" s="95" t="s">
        <v>690</v>
      </c>
      <c r="J19" s="181" t="s">
        <v>654</v>
      </c>
      <c r="K19" s="190" t="s">
        <v>458</v>
      </c>
      <c r="L19" s="181" t="s">
        <v>656</v>
      </c>
      <c r="M19" s="191" t="s">
        <v>34</v>
      </c>
      <c r="N19" s="30" t="s">
        <v>653</v>
      </c>
      <c r="O19" s="197" t="s">
        <v>574</v>
      </c>
      <c r="P19" s="18">
        <f>COUNTIF(B5:G35,"AMINE")</f>
        <v>5</v>
      </c>
      <c r="Q19" s="18">
        <f>COUNTIF(K5:M35,"AMINE")</f>
        <v>3</v>
      </c>
      <c r="R19" s="18">
        <f>COUNTIF(I5:I35,"AMINE")</f>
        <v>0</v>
      </c>
      <c r="S19" s="18">
        <f>COUNTIF(H5:H35,"AMINE")</f>
        <v>0</v>
      </c>
      <c r="T19" s="32"/>
    </row>
    <row r="20" spans="1:20" ht="15.75">
      <c r="A20" s="156">
        <v>46038</v>
      </c>
      <c r="B20" s="174" t="s">
        <v>678</v>
      </c>
      <c r="C20" s="202" t="s">
        <v>689</v>
      </c>
      <c r="D20" s="175" t="s">
        <v>457</v>
      </c>
      <c r="E20" s="176" t="s">
        <v>476</v>
      </c>
      <c r="F20" s="177"/>
      <c r="G20" s="178"/>
      <c r="H20" s="179" t="s">
        <v>73</v>
      </c>
      <c r="I20" s="186"/>
      <c r="J20" s="30" t="s">
        <v>653</v>
      </c>
      <c r="K20" s="203" t="s">
        <v>678</v>
      </c>
      <c r="L20" s="181" t="s">
        <v>654</v>
      </c>
      <c r="M20" s="187" t="s">
        <v>453</v>
      </c>
      <c r="N20" s="181" t="s">
        <v>656</v>
      </c>
      <c r="O20" s="204" t="s">
        <v>674</v>
      </c>
      <c r="P20" s="58">
        <f>COUNTIF(B5:G35,"RAOUF")</f>
        <v>5</v>
      </c>
      <c r="Q20" s="58">
        <f>COUNTIF(K5:M35,"RAOUF")</f>
        <v>0</v>
      </c>
      <c r="R20" s="58">
        <f>COUNTIF(I5:I35,"RAOUF")</f>
        <v>2</v>
      </c>
      <c r="S20" s="58">
        <f>COUNTIF(H5:H35,"RAOUF")</f>
        <v>0</v>
      </c>
      <c r="T20" s="193"/>
    </row>
    <row r="21" spans="1:20" ht="15.75">
      <c r="A21" s="156">
        <v>46039</v>
      </c>
      <c r="B21" s="174" t="s">
        <v>466</v>
      </c>
      <c r="C21" s="202" t="s">
        <v>475</v>
      </c>
      <c r="D21" s="175" t="s">
        <v>516</v>
      </c>
      <c r="E21" s="176" t="s">
        <v>572</v>
      </c>
      <c r="F21" s="198"/>
      <c r="G21" s="178"/>
      <c r="H21" s="169" t="s">
        <v>34</v>
      </c>
      <c r="I21" s="199" t="s">
        <v>475</v>
      </c>
      <c r="J21" s="181" t="s">
        <v>656</v>
      </c>
      <c r="K21" s="182" t="s">
        <v>516</v>
      </c>
      <c r="L21" s="30" t="s">
        <v>653</v>
      </c>
      <c r="M21" s="187"/>
      <c r="N21" s="181" t="s">
        <v>654</v>
      </c>
      <c r="O21" s="204" t="s">
        <v>695</v>
      </c>
      <c r="P21" s="18">
        <f>COUNTIF(B5:G35,"NOUR")</f>
        <v>12</v>
      </c>
      <c r="Q21" s="18">
        <f>COUNTIF(K5:M35,"NOUR")</f>
        <v>3</v>
      </c>
      <c r="R21" s="18">
        <v>5</v>
      </c>
      <c r="S21" s="18">
        <f>COUNTIF(H11:H41,"NOUR")</f>
        <v>0</v>
      </c>
      <c r="T21" s="58"/>
    </row>
    <row r="22" spans="1:20" ht="15.75">
      <c r="A22" s="156">
        <v>46040</v>
      </c>
      <c r="B22" s="165" t="s">
        <v>466</v>
      </c>
      <c r="C22" s="49" t="s">
        <v>475</v>
      </c>
      <c r="D22" s="104" t="s">
        <v>696</v>
      </c>
      <c r="E22" s="166" t="s">
        <v>678</v>
      </c>
      <c r="F22" s="189" t="s">
        <v>697</v>
      </c>
      <c r="G22" s="178"/>
      <c r="H22" s="179" t="s">
        <v>456</v>
      </c>
      <c r="I22" s="97"/>
      <c r="J22" s="181" t="s">
        <v>654</v>
      </c>
      <c r="K22" s="190" t="s">
        <v>678</v>
      </c>
      <c r="L22" s="181" t="s">
        <v>656</v>
      </c>
      <c r="M22" s="191" t="s">
        <v>449</v>
      </c>
      <c r="N22" s="30" t="s">
        <v>653</v>
      </c>
    </row>
    <row r="23" spans="1:20" ht="15.75">
      <c r="A23" s="156">
        <v>46041</v>
      </c>
      <c r="B23" s="165" t="s">
        <v>466</v>
      </c>
      <c r="C23" s="49" t="s">
        <v>475</v>
      </c>
      <c r="D23" s="104" t="s">
        <v>476</v>
      </c>
      <c r="E23" s="166" t="s">
        <v>457</v>
      </c>
      <c r="F23" s="189" t="s">
        <v>697</v>
      </c>
      <c r="G23" s="178"/>
      <c r="H23" s="185" t="s">
        <v>449</v>
      </c>
      <c r="I23" s="95"/>
      <c r="J23" s="30" t="s">
        <v>653</v>
      </c>
      <c r="K23" s="22" t="s">
        <v>458</v>
      </c>
      <c r="L23" s="181" t="s">
        <v>654</v>
      </c>
      <c r="M23" s="191" t="s">
        <v>34</v>
      </c>
      <c r="N23" s="181" t="s">
        <v>656</v>
      </c>
    </row>
    <row r="24" spans="1:20" ht="15.75">
      <c r="A24" s="156">
        <v>46042</v>
      </c>
      <c r="B24" s="165" t="s">
        <v>572</v>
      </c>
      <c r="C24" s="49" t="s">
        <v>475</v>
      </c>
      <c r="D24" s="104" t="s">
        <v>516</v>
      </c>
      <c r="E24" s="166" t="s">
        <v>34</v>
      </c>
      <c r="F24" s="189" t="s">
        <v>459</v>
      </c>
      <c r="G24" s="178"/>
      <c r="H24" s="179" t="s">
        <v>73</v>
      </c>
      <c r="I24" s="95" t="s">
        <v>475</v>
      </c>
      <c r="J24" s="181" t="s">
        <v>656</v>
      </c>
      <c r="K24" s="190" t="s">
        <v>516</v>
      </c>
      <c r="L24" s="30" t="s">
        <v>653</v>
      </c>
      <c r="M24" s="191" t="s">
        <v>572</v>
      </c>
      <c r="N24" s="181" t="s">
        <v>654</v>
      </c>
    </row>
    <row r="25" spans="1:20" ht="15.75">
      <c r="A25" s="156">
        <v>46043</v>
      </c>
      <c r="B25" s="165" t="s">
        <v>466</v>
      </c>
      <c r="C25" s="49" t="s">
        <v>475</v>
      </c>
      <c r="D25" s="104" t="s">
        <v>476</v>
      </c>
      <c r="E25" s="166" t="s">
        <v>680</v>
      </c>
      <c r="F25" s="189" t="s">
        <v>459</v>
      </c>
      <c r="G25" s="178"/>
      <c r="H25" s="169" t="s">
        <v>34</v>
      </c>
      <c r="I25" s="170"/>
      <c r="J25" s="181" t="s">
        <v>654</v>
      </c>
      <c r="K25" s="22" t="s">
        <v>459</v>
      </c>
      <c r="L25" s="181" t="s">
        <v>656</v>
      </c>
      <c r="M25" s="191" t="s">
        <v>453</v>
      </c>
      <c r="N25" s="30" t="s">
        <v>653</v>
      </c>
    </row>
    <row r="26" spans="1:20" ht="15.75">
      <c r="A26" s="156">
        <v>46044</v>
      </c>
      <c r="B26" s="165" t="s">
        <v>466</v>
      </c>
      <c r="C26" s="49" t="s">
        <v>73</v>
      </c>
      <c r="D26" s="104" t="s">
        <v>476</v>
      </c>
      <c r="E26" s="166" t="s">
        <v>516</v>
      </c>
      <c r="F26" s="189" t="s">
        <v>459</v>
      </c>
      <c r="G26" s="178"/>
      <c r="H26" s="179" t="s">
        <v>586</v>
      </c>
      <c r="I26" s="97"/>
      <c r="J26" s="30" t="s">
        <v>653</v>
      </c>
      <c r="K26" s="190" t="s">
        <v>458</v>
      </c>
      <c r="L26" s="181" t="s">
        <v>654</v>
      </c>
      <c r="M26" s="191" t="s">
        <v>449</v>
      </c>
      <c r="N26" s="181" t="s">
        <v>656</v>
      </c>
    </row>
    <row r="27" spans="1:20" ht="15.75">
      <c r="A27" s="156">
        <v>46045</v>
      </c>
      <c r="B27" s="174" t="s">
        <v>678</v>
      </c>
      <c r="C27" s="202" t="s">
        <v>436</v>
      </c>
      <c r="D27" s="175" t="s">
        <v>34</v>
      </c>
      <c r="E27" s="176" t="s">
        <v>476</v>
      </c>
      <c r="F27" s="184"/>
      <c r="G27" s="178"/>
      <c r="H27" s="185" t="s">
        <v>449</v>
      </c>
      <c r="I27" s="186" t="s">
        <v>690</v>
      </c>
      <c r="J27" s="181" t="s">
        <v>656</v>
      </c>
      <c r="K27" s="182" t="s">
        <v>436</v>
      </c>
      <c r="L27" s="30" t="s">
        <v>653</v>
      </c>
      <c r="M27" s="187" t="s">
        <v>34</v>
      </c>
      <c r="N27" s="181" t="s">
        <v>654</v>
      </c>
    </row>
    <row r="28" spans="1:20" ht="15.75">
      <c r="A28" s="156">
        <v>46046</v>
      </c>
      <c r="B28" s="174" t="s">
        <v>466</v>
      </c>
      <c r="C28" s="202" t="s">
        <v>475</v>
      </c>
      <c r="D28" s="175" t="s">
        <v>516</v>
      </c>
      <c r="E28" s="176" t="s">
        <v>678</v>
      </c>
      <c r="F28" s="177"/>
      <c r="G28" s="178"/>
      <c r="H28" s="179" t="s">
        <v>73</v>
      </c>
      <c r="I28" s="186" t="s">
        <v>475</v>
      </c>
      <c r="J28" s="181" t="s">
        <v>654</v>
      </c>
      <c r="K28" s="182" t="s">
        <v>516</v>
      </c>
      <c r="L28" s="181" t="s">
        <v>656</v>
      </c>
      <c r="M28" s="187" t="s">
        <v>453</v>
      </c>
      <c r="N28" s="30" t="s">
        <v>653</v>
      </c>
    </row>
    <row r="29" spans="1:20" ht="15.75">
      <c r="A29" s="156">
        <v>46047</v>
      </c>
      <c r="B29" s="165" t="s">
        <v>466</v>
      </c>
      <c r="C29" s="49" t="s">
        <v>475</v>
      </c>
      <c r="D29" s="104" t="s">
        <v>476</v>
      </c>
      <c r="E29" s="166" t="s">
        <v>457</v>
      </c>
      <c r="F29" s="167" t="s">
        <v>697</v>
      </c>
      <c r="G29" s="178"/>
      <c r="H29" s="169" t="s">
        <v>34</v>
      </c>
      <c r="I29" s="170"/>
      <c r="J29" s="30" t="s">
        <v>653</v>
      </c>
      <c r="K29" s="190" t="s">
        <v>457</v>
      </c>
      <c r="L29" s="181" t="s">
        <v>654</v>
      </c>
      <c r="M29" s="191" t="s">
        <v>436</v>
      </c>
      <c r="N29" s="181" t="s">
        <v>656</v>
      </c>
    </row>
    <row r="30" spans="1:20" ht="15.75">
      <c r="A30" s="156">
        <v>46048</v>
      </c>
      <c r="B30" s="165" t="s">
        <v>466</v>
      </c>
      <c r="C30" s="49" t="s">
        <v>475</v>
      </c>
      <c r="D30" s="104" t="s">
        <v>476</v>
      </c>
      <c r="E30" s="166" t="s">
        <v>457</v>
      </c>
      <c r="F30" s="167" t="s">
        <v>459</v>
      </c>
      <c r="G30" s="178"/>
      <c r="H30" s="179" t="s">
        <v>456</v>
      </c>
      <c r="I30" s="97" t="s">
        <v>34</v>
      </c>
      <c r="J30" s="181" t="s">
        <v>656</v>
      </c>
      <c r="K30" s="22" t="s">
        <v>458</v>
      </c>
      <c r="L30" s="30" t="s">
        <v>653</v>
      </c>
      <c r="M30" s="191" t="s">
        <v>449</v>
      </c>
      <c r="N30" s="181" t="s">
        <v>654</v>
      </c>
    </row>
    <row r="31" spans="1:20" ht="15.75">
      <c r="A31" s="156">
        <v>46049</v>
      </c>
      <c r="B31" s="165" t="s">
        <v>572</v>
      </c>
      <c r="C31" s="49" t="s">
        <v>475</v>
      </c>
      <c r="D31" s="104" t="s">
        <v>516</v>
      </c>
      <c r="E31" s="166" t="s">
        <v>457</v>
      </c>
      <c r="F31" s="167" t="s">
        <v>459</v>
      </c>
      <c r="G31" s="178"/>
      <c r="H31" s="185" t="s">
        <v>449</v>
      </c>
      <c r="I31" s="95" t="s">
        <v>475</v>
      </c>
      <c r="J31" s="181" t="s">
        <v>654</v>
      </c>
      <c r="K31" s="190" t="s">
        <v>516</v>
      </c>
      <c r="L31" s="181" t="s">
        <v>656</v>
      </c>
      <c r="M31" s="191" t="s">
        <v>572</v>
      </c>
      <c r="N31" s="30" t="s">
        <v>653</v>
      </c>
    </row>
    <row r="32" spans="1:20" ht="15.75">
      <c r="A32" s="156">
        <v>46050</v>
      </c>
      <c r="B32" s="165" t="s">
        <v>466</v>
      </c>
      <c r="C32" s="49" t="s">
        <v>475</v>
      </c>
      <c r="D32" s="104" t="s">
        <v>476</v>
      </c>
      <c r="E32" s="166" t="s">
        <v>678</v>
      </c>
      <c r="F32" s="167" t="s">
        <v>459</v>
      </c>
      <c r="G32" s="178"/>
      <c r="H32" s="179" t="s">
        <v>73</v>
      </c>
      <c r="I32" s="95"/>
      <c r="J32" s="30" t="s">
        <v>653</v>
      </c>
      <c r="K32" s="22" t="s">
        <v>678</v>
      </c>
      <c r="L32" s="181" t="s">
        <v>654</v>
      </c>
      <c r="M32" s="205" t="s">
        <v>34</v>
      </c>
      <c r="N32" s="181" t="s">
        <v>656</v>
      </c>
    </row>
    <row r="33" spans="1:14" ht="15.75">
      <c r="A33" s="156">
        <v>46051</v>
      </c>
      <c r="B33" s="165" t="s">
        <v>466</v>
      </c>
      <c r="C33" s="49" t="s">
        <v>73</v>
      </c>
      <c r="D33" s="104" t="s">
        <v>476</v>
      </c>
      <c r="E33" s="166" t="s">
        <v>457</v>
      </c>
      <c r="F33" s="167" t="s">
        <v>459</v>
      </c>
      <c r="G33" s="178" t="s">
        <v>678</v>
      </c>
      <c r="H33" s="169" t="s">
        <v>34</v>
      </c>
      <c r="I33" s="170"/>
      <c r="J33" s="181" t="s">
        <v>656</v>
      </c>
      <c r="K33" s="190" t="s">
        <v>458</v>
      </c>
      <c r="L33" s="30" t="s">
        <v>653</v>
      </c>
      <c r="M33" s="191" t="s">
        <v>459</v>
      </c>
      <c r="N33" s="181" t="s">
        <v>654</v>
      </c>
    </row>
    <row r="34" spans="1:14" ht="15.75">
      <c r="A34" s="156">
        <v>46052</v>
      </c>
      <c r="B34" s="174" t="s">
        <v>678</v>
      </c>
      <c r="C34" s="202" t="s">
        <v>436</v>
      </c>
      <c r="D34" s="175" t="s">
        <v>457</v>
      </c>
      <c r="E34" s="176" t="s">
        <v>476</v>
      </c>
      <c r="F34" s="177"/>
      <c r="G34" s="178"/>
      <c r="H34" s="179" t="s">
        <v>34</v>
      </c>
      <c r="I34" s="180" t="s">
        <v>690</v>
      </c>
      <c r="J34" s="181" t="s">
        <v>654</v>
      </c>
      <c r="K34" s="182" t="s">
        <v>436</v>
      </c>
      <c r="L34" s="181" t="s">
        <v>656</v>
      </c>
      <c r="M34" s="187" t="s">
        <v>449</v>
      </c>
      <c r="N34" s="30" t="s">
        <v>653</v>
      </c>
    </row>
    <row r="35" spans="1:14" ht="15.75">
      <c r="A35" s="156">
        <v>46053</v>
      </c>
      <c r="B35" s="174" t="s">
        <v>678</v>
      </c>
      <c r="C35" s="202" t="s">
        <v>475</v>
      </c>
      <c r="D35" s="175" t="s">
        <v>516</v>
      </c>
      <c r="E35" s="206"/>
      <c r="F35" s="184"/>
      <c r="G35" s="178"/>
      <c r="H35" s="185" t="s">
        <v>449</v>
      </c>
      <c r="I35" s="186" t="s">
        <v>698</v>
      </c>
      <c r="J35" s="207" t="s">
        <v>653</v>
      </c>
      <c r="K35" s="208" t="s">
        <v>516</v>
      </c>
      <c r="L35" s="209" t="s">
        <v>654</v>
      </c>
      <c r="M35" s="210" t="s">
        <v>34</v>
      </c>
      <c r="N35" s="209" t="s">
        <v>656</v>
      </c>
    </row>
  </sheetData>
  <mergeCells count="8">
    <mergeCell ref="A3:A4"/>
    <mergeCell ref="A1:N2"/>
    <mergeCell ref="O1:T2"/>
    <mergeCell ref="B3:E3"/>
    <mergeCell ref="F3:G3"/>
    <mergeCell ref="I3:N3"/>
    <mergeCell ref="I4:J4"/>
    <mergeCell ref="K4:N4"/>
  </mergeCells>
  <pageMargins left="0" right="0" top="0" bottom="0" header="0" footer="0.31496062992126"/>
  <pageSetup paperSize="9" orientation="landscape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35"/>
  <sheetViews>
    <sheetView workbookViewId="0">
      <selection activeCell="G21" sqref="G21"/>
    </sheetView>
  </sheetViews>
  <sheetFormatPr baseColWidth="10" defaultColWidth="11" defaultRowHeight="15"/>
  <cols>
    <col min="1" max="1" width="21" customWidth="1"/>
    <col min="6" max="6" width="10.7109375" customWidth="1"/>
    <col min="10" max="10" width="2.85546875" customWidth="1"/>
    <col min="12" max="12" width="2.85546875" customWidth="1"/>
    <col min="14" max="14" width="3.140625" customWidth="1"/>
    <col min="15" max="15" width="36.85546875" customWidth="1"/>
  </cols>
  <sheetData>
    <row r="1" spans="1:20">
      <c r="A1" s="1394" t="s">
        <v>699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0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0" ht="18.75">
      <c r="A3" s="1355" t="s">
        <v>2</v>
      </c>
      <c r="B3" s="1385" t="s">
        <v>543</v>
      </c>
      <c r="C3" s="1385"/>
      <c r="D3" s="1385"/>
      <c r="E3" s="1386"/>
      <c r="F3" s="1416" t="s">
        <v>542</v>
      </c>
      <c r="G3" s="1417"/>
      <c r="H3" s="5" t="s">
        <v>624</v>
      </c>
      <c r="I3" s="1389" t="s">
        <v>544</v>
      </c>
      <c r="J3" s="1385"/>
      <c r="K3" s="1385"/>
      <c r="L3" s="1385"/>
      <c r="M3" s="1385"/>
      <c r="N3" s="1386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10" t="s">
        <v>479</v>
      </c>
    </row>
    <row r="4" spans="1:20" ht="15.75">
      <c r="A4" s="1357"/>
      <c r="B4" s="11" t="s">
        <v>8</v>
      </c>
      <c r="C4" s="12" t="s">
        <v>9</v>
      </c>
      <c r="D4" s="12" t="s">
        <v>10</v>
      </c>
      <c r="E4" s="13" t="s">
        <v>7</v>
      </c>
      <c r="F4" s="14" t="s">
        <v>434</v>
      </c>
      <c r="G4" s="15" t="s">
        <v>625</v>
      </c>
      <c r="H4" s="16" t="s">
        <v>677</v>
      </c>
      <c r="I4" s="1421" t="s">
        <v>626</v>
      </c>
      <c r="J4" s="1422"/>
      <c r="K4" s="1423" t="s">
        <v>546</v>
      </c>
      <c r="L4" s="1424"/>
      <c r="M4" s="1424"/>
      <c r="N4" s="1425"/>
      <c r="O4" s="17" t="s">
        <v>208</v>
      </c>
      <c r="P4" s="18">
        <f>COUNTIF(B5:G35,"NASSIMA")</f>
        <v>6</v>
      </c>
      <c r="Q4" s="18">
        <f>COUNTIF(K2:M32,"NASSIMA")</f>
        <v>0</v>
      </c>
      <c r="R4" s="18">
        <f>COUNTIF(I2:I32,"NASSIMA")</f>
        <v>0</v>
      </c>
      <c r="S4" s="19">
        <f>COUNTIF(H2:H32,"NASSIMA")</f>
        <v>9</v>
      </c>
      <c r="T4" s="20"/>
    </row>
    <row r="5" spans="1:20" ht="15.75">
      <c r="A5" s="76">
        <v>46054</v>
      </c>
      <c r="B5" s="122" t="s">
        <v>466</v>
      </c>
      <c r="C5" s="123" t="s">
        <v>475</v>
      </c>
      <c r="D5" s="123" t="s">
        <v>476</v>
      </c>
      <c r="E5" s="124" t="s">
        <v>457</v>
      </c>
      <c r="F5" s="125" t="s">
        <v>73</v>
      </c>
      <c r="G5" s="107"/>
      <c r="H5" s="126" t="s">
        <v>34</v>
      </c>
      <c r="I5" s="127"/>
      <c r="J5" s="128" t="s">
        <v>653</v>
      </c>
      <c r="K5" s="129" t="s">
        <v>457</v>
      </c>
      <c r="L5" s="128" t="s">
        <v>654</v>
      </c>
      <c r="M5" s="130" t="s">
        <v>436</v>
      </c>
      <c r="N5" s="128" t="s">
        <v>613</v>
      </c>
      <c r="O5" s="31" t="s">
        <v>700</v>
      </c>
      <c r="P5" s="18">
        <f>COUNTIF(B5:G35,"YASMINE")</f>
        <v>7</v>
      </c>
      <c r="Q5" s="18">
        <f>COUNTIF(K5:M35,"YASMINE")</f>
        <v>6</v>
      </c>
      <c r="R5" s="18">
        <f>COUNTIF(I5:I35,"YASMINE")</f>
        <v>3</v>
      </c>
      <c r="S5" s="19">
        <f>COUNTIF(H5:H35,"YASMINE")</f>
        <v>10</v>
      </c>
      <c r="T5" s="32"/>
    </row>
    <row r="6" spans="1:20" ht="15.75">
      <c r="A6" s="76">
        <v>46055</v>
      </c>
      <c r="B6" s="131" t="s">
        <v>466</v>
      </c>
      <c r="C6" s="132" t="s">
        <v>475</v>
      </c>
      <c r="D6" s="132" t="s">
        <v>476</v>
      </c>
      <c r="E6" s="133" t="s">
        <v>457</v>
      </c>
      <c r="F6" s="134" t="s">
        <v>34</v>
      </c>
      <c r="G6" s="135"/>
      <c r="H6" s="136" t="s">
        <v>73</v>
      </c>
      <c r="I6" s="137" t="s">
        <v>34</v>
      </c>
      <c r="J6" s="138" t="s">
        <v>656</v>
      </c>
      <c r="K6" s="139" t="s">
        <v>458</v>
      </c>
      <c r="L6" s="138" t="s">
        <v>653</v>
      </c>
      <c r="M6" s="140" t="s">
        <v>449</v>
      </c>
      <c r="N6" s="138" t="s">
        <v>612</v>
      </c>
      <c r="O6" s="31" t="s">
        <v>685</v>
      </c>
      <c r="P6" s="18">
        <f>COUNTIF(B4:G34,"HAYAT")</f>
        <v>0</v>
      </c>
      <c r="Q6" s="18">
        <f>COUNTIF(K4:M34,"HAYAT")</f>
        <v>4</v>
      </c>
      <c r="R6" s="18">
        <f>COUNTIF(I4:I34,"HAYAT")</f>
        <v>0</v>
      </c>
      <c r="S6" s="19">
        <f>COUNTIF(H4:H34,"HAYAT")</f>
        <v>9</v>
      </c>
      <c r="T6" s="32"/>
    </row>
    <row r="7" spans="1:20" ht="15.75">
      <c r="A7" s="76">
        <v>46056</v>
      </c>
      <c r="B7" s="131" t="s">
        <v>678</v>
      </c>
      <c r="C7" s="132" t="s">
        <v>475</v>
      </c>
      <c r="D7" s="132" t="s">
        <v>516</v>
      </c>
      <c r="E7" s="133" t="s">
        <v>457</v>
      </c>
      <c r="F7" s="141" t="s">
        <v>459</v>
      </c>
      <c r="G7" s="135"/>
      <c r="H7" s="136" t="s">
        <v>449</v>
      </c>
      <c r="I7" s="140" t="s">
        <v>475</v>
      </c>
      <c r="J7" s="138" t="s">
        <v>654</v>
      </c>
      <c r="K7" s="139" t="s">
        <v>516</v>
      </c>
      <c r="L7" s="138" t="s">
        <v>656</v>
      </c>
      <c r="M7" s="140" t="s">
        <v>678</v>
      </c>
      <c r="N7" s="138" t="s">
        <v>653</v>
      </c>
      <c r="O7" s="43" t="s">
        <v>701</v>
      </c>
      <c r="P7" s="18">
        <f>COUNTIF(B5:G35,"SOUMIA")</f>
        <v>9</v>
      </c>
      <c r="Q7" s="18">
        <f>COUNTIF(K5:M35,"SOUMIA")</f>
        <v>3</v>
      </c>
      <c r="R7" s="18">
        <f>COUNTIF(I5:I35,"SOUMIA")</f>
        <v>0</v>
      </c>
      <c r="S7" s="19">
        <f>COUNTIF(H5:H35,"SOUMIA")</f>
        <v>0</v>
      </c>
      <c r="T7" s="44"/>
    </row>
    <row r="8" spans="1:20" ht="15.75">
      <c r="A8" s="76">
        <v>46057</v>
      </c>
      <c r="B8" s="131" t="s">
        <v>466</v>
      </c>
      <c r="C8" s="132" t="s">
        <v>475</v>
      </c>
      <c r="D8" s="132" t="s">
        <v>476</v>
      </c>
      <c r="E8" s="133" t="s">
        <v>678</v>
      </c>
      <c r="F8" s="134" t="s">
        <v>459</v>
      </c>
      <c r="G8" s="135"/>
      <c r="H8" s="136" t="s">
        <v>34</v>
      </c>
      <c r="I8" s="140" t="s">
        <v>516</v>
      </c>
      <c r="J8" s="138" t="s">
        <v>653</v>
      </c>
      <c r="K8" s="139" t="s">
        <v>459</v>
      </c>
      <c r="L8" s="138" t="s">
        <v>654</v>
      </c>
      <c r="M8" s="140" t="s">
        <v>678</v>
      </c>
      <c r="N8" s="138" t="s">
        <v>656</v>
      </c>
      <c r="O8" s="45" t="s">
        <v>686</v>
      </c>
      <c r="P8" s="18">
        <f>COUNTIF(B5:G35,"SARAH")</f>
        <v>20</v>
      </c>
      <c r="Q8" s="18">
        <f>COUNTIF(K5:M35,"SARAH")</f>
        <v>3</v>
      </c>
      <c r="R8" s="18">
        <f>COUNTIF(I5:I35,"SARAH")</f>
        <v>0</v>
      </c>
      <c r="S8" s="19">
        <f>COUNTIF(H5:H35,"SARAH")</f>
        <v>0</v>
      </c>
      <c r="T8" s="32"/>
    </row>
    <row r="9" spans="1:20" ht="15.75">
      <c r="A9" s="76">
        <v>46058</v>
      </c>
      <c r="B9" s="131" t="s">
        <v>466</v>
      </c>
      <c r="C9" s="132" t="s">
        <v>34</v>
      </c>
      <c r="D9" s="132" t="s">
        <v>476</v>
      </c>
      <c r="E9" s="133" t="s">
        <v>457</v>
      </c>
      <c r="F9" s="134" t="s">
        <v>459</v>
      </c>
      <c r="G9" s="135"/>
      <c r="H9" s="136" t="s">
        <v>73</v>
      </c>
      <c r="I9" s="137" t="s">
        <v>34</v>
      </c>
      <c r="J9" s="138" t="s">
        <v>656</v>
      </c>
      <c r="K9" s="139" t="s">
        <v>458</v>
      </c>
      <c r="L9" s="138" t="s">
        <v>653</v>
      </c>
      <c r="M9" s="140" t="s">
        <v>446</v>
      </c>
      <c r="N9" s="138" t="s">
        <v>654</v>
      </c>
      <c r="O9" s="46" t="s">
        <v>688</v>
      </c>
      <c r="P9" s="18">
        <f>COUNTIF(B5:G35,"DJAMEL")</f>
        <v>0</v>
      </c>
      <c r="Q9" s="18">
        <f>COUNTIF(K5:M35,"DJAMEL")</f>
        <v>7</v>
      </c>
      <c r="R9" s="18">
        <f>COUNTIF(I5:I35,"DJAMEL")</f>
        <v>0</v>
      </c>
      <c r="S9" s="19">
        <f>COUNTIF(H5:H35,"DJAMEL")</f>
        <v>0</v>
      </c>
      <c r="T9" s="47"/>
    </row>
    <row r="10" spans="1:20" ht="15.75">
      <c r="A10" s="76">
        <v>46059</v>
      </c>
      <c r="B10" s="131" t="s">
        <v>459</v>
      </c>
      <c r="C10" s="132" t="s">
        <v>436</v>
      </c>
      <c r="D10" s="132" t="s">
        <v>457</v>
      </c>
      <c r="E10" s="133" t="s">
        <v>476</v>
      </c>
      <c r="F10" s="134"/>
      <c r="G10" s="135"/>
      <c r="H10" s="136" t="s">
        <v>449</v>
      </c>
      <c r="I10" s="137"/>
      <c r="J10" s="138" t="s">
        <v>654</v>
      </c>
      <c r="K10" s="139" t="s">
        <v>436</v>
      </c>
      <c r="L10" s="138" t="s">
        <v>656</v>
      </c>
      <c r="M10" s="140" t="s">
        <v>459</v>
      </c>
      <c r="N10" s="138" t="s">
        <v>653</v>
      </c>
      <c r="O10" s="48" t="s">
        <v>691</v>
      </c>
      <c r="P10" s="18">
        <f>COUNTIF(B5:G35,"MOHAMED")</f>
        <v>19</v>
      </c>
      <c r="Q10" s="18">
        <f>COUNTIF(K5:M35,"MOHAMED")</f>
        <v>0</v>
      </c>
      <c r="R10" s="18">
        <f>COUNTIF(I5:I35,"MOHAMED")</f>
        <v>0</v>
      </c>
      <c r="S10" s="19">
        <f>COUNTIF(H5:H35,"MOHAMED")</f>
        <v>0</v>
      </c>
      <c r="T10" s="32"/>
    </row>
    <row r="11" spans="1:20" ht="15.75">
      <c r="A11" s="76">
        <v>46060</v>
      </c>
      <c r="B11" s="131" t="s">
        <v>466</v>
      </c>
      <c r="C11" s="132" t="s">
        <v>475</v>
      </c>
      <c r="D11" s="132" t="s">
        <v>516</v>
      </c>
      <c r="E11" s="133" t="s">
        <v>678</v>
      </c>
      <c r="F11" s="134" t="s">
        <v>459</v>
      </c>
      <c r="G11" s="135"/>
      <c r="H11" s="136" t="s">
        <v>34</v>
      </c>
      <c r="I11" s="140" t="s">
        <v>475</v>
      </c>
      <c r="J11" s="138" t="s">
        <v>653</v>
      </c>
      <c r="K11" s="139" t="s">
        <v>516</v>
      </c>
      <c r="L11" s="138" t="s">
        <v>654</v>
      </c>
      <c r="M11" s="140" t="s">
        <v>678</v>
      </c>
      <c r="N11" s="138" t="s">
        <v>656</v>
      </c>
      <c r="O11" s="48" t="s">
        <v>693</v>
      </c>
      <c r="P11" s="18">
        <f>COUNTIF(B5:G35,"HICHEM")</f>
        <v>20</v>
      </c>
      <c r="Q11" s="18">
        <f>COUNTIF(K5:M35,"HICHEM")</f>
        <v>0</v>
      </c>
      <c r="R11" s="18">
        <f>COUNTIF(I5:I35,"HICHEM")</f>
        <v>0</v>
      </c>
      <c r="S11" s="19">
        <f>COUNTIF(H5:H35,"HICHEM")</f>
        <v>0</v>
      </c>
      <c r="T11" s="32"/>
    </row>
    <row r="12" spans="1:20" ht="15.75">
      <c r="A12" s="76">
        <v>46061</v>
      </c>
      <c r="B12" s="131" t="s">
        <v>678</v>
      </c>
      <c r="C12" s="132" t="s">
        <v>475</v>
      </c>
      <c r="D12" s="132" t="s">
        <v>476</v>
      </c>
      <c r="E12" s="133" t="s">
        <v>457</v>
      </c>
      <c r="F12" s="134" t="s">
        <v>34</v>
      </c>
      <c r="G12" s="135"/>
      <c r="H12" s="136" t="s">
        <v>73</v>
      </c>
      <c r="I12" s="140" t="s">
        <v>678</v>
      </c>
      <c r="J12" s="138" t="s">
        <v>656</v>
      </c>
      <c r="K12" s="139" t="s">
        <v>457</v>
      </c>
      <c r="L12" s="138" t="s">
        <v>653</v>
      </c>
      <c r="M12" s="140" t="s">
        <v>449</v>
      </c>
      <c r="N12" s="138" t="s">
        <v>654</v>
      </c>
      <c r="O12" s="48" t="s">
        <v>694</v>
      </c>
      <c r="P12" s="18">
        <f>COUNTIF(B5:E38,"RACHID")</f>
        <v>20</v>
      </c>
      <c r="Q12" s="18">
        <f>COUNTIF(K5:M38,"RACHID")</f>
        <v>0</v>
      </c>
      <c r="R12" s="18">
        <f>COUNTIF(I5:I35,"RACHID")</f>
        <v>7</v>
      </c>
      <c r="S12" s="19">
        <f>COUNTIF(H5:H38,"HICHEM")</f>
        <v>0</v>
      </c>
      <c r="T12" s="32"/>
    </row>
    <row r="13" spans="1:20" ht="15.75">
      <c r="A13" s="76">
        <v>46062</v>
      </c>
      <c r="B13" s="131" t="s">
        <v>466</v>
      </c>
      <c r="C13" s="132" t="s">
        <v>475</v>
      </c>
      <c r="D13" s="132" t="s">
        <v>476</v>
      </c>
      <c r="E13" s="133" t="s">
        <v>457</v>
      </c>
      <c r="F13" s="134" t="s">
        <v>73</v>
      </c>
      <c r="G13" s="135"/>
      <c r="H13" s="136" t="s">
        <v>449</v>
      </c>
      <c r="I13" s="137"/>
      <c r="J13" s="138" t="s">
        <v>654</v>
      </c>
      <c r="K13" s="139" t="s">
        <v>458</v>
      </c>
      <c r="L13" s="138" t="s">
        <v>656</v>
      </c>
      <c r="M13" s="140" t="s">
        <v>34</v>
      </c>
      <c r="N13" s="138" t="s">
        <v>653</v>
      </c>
      <c r="O13" s="48" t="s">
        <v>558</v>
      </c>
      <c r="P13" s="18">
        <f>COUNTIF(B5:G35,"HOCINE")</f>
        <v>8</v>
      </c>
      <c r="Q13" s="18">
        <f>COUNTIF(K5:M35,"HOCINE")</f>
        <v>8</v>
      </c>
      <c r="R13" s="18">
        <f>COUNTIF(I5:I35,"HOCINE")</f>
        <v>2</v>
      </c>
      <c r="S13" s="19">
        <f>COUNTIF(H5:H35,"HOCINE")</f>
        <v>0</v>
      </c>
      <c r="T13" s="32"/>
    </row>
    <row r="14" spans="1:20" ht="15.75">
      <c r="A14" s="76">
        <v>46063</v>
      </c>
      <c r="B14" s="131" t="s">
        <v>572</v>
      </c>
      <c r="C14" s="132" t="s">
        <v>475</v>
      </c>
      <c r="D14" s="132" t="s">
        <v>516</v>
      </c>
      <c r="E14" s="133" t="s">
        <v>457</v>
      </c>
      <c r="F14" s="134" t="s">
        <v>459</v>
      </c>
      <c r="G14" s="135"/>
      <c r="H14" s="136" t="s">
        <v>34</v>
      </c>
      <c r="I14" s="137" t="s">
        <v>475</v>
      </c>
      <c r="J14" s="138" t="s">
        <v>653</v>
      </c>
      <c r="K14" s="139" t="s">
        <v>516</v>
      </c>
      <c r="L14" s="138" t="s">
        <v>654</v>
      </c>
      <c r="M14" s="140" t="s">
        <v>572</v>
      </c>
      <c r="N14" s="138" t="s">
        <v>656</v>
      </c>
      <c r="O14" s="48" t="s">
        <v>559</v>
      </c>
      <c r="P14" s="18">
        <f>COUNTIF(B5:G35,"TCHIKOU")</f>
        <v>0</v>
      </c>
      <c r="Q14" s="18">
        <f>COUNTIF(K5:M35,"TCHIKOU")</f>
        <v>5</v>
      </c>
      <c r="R14" s="18">
        <f>COUNTIF(I5:I41,"TCHIKOU")</f>
        <v>0</v>
      </c>
      <c r="S14" s="19">
        <f>COUNTIF(H5:H35,"TCHIKOU")</f>
        <v>0</v>
      </c>
      <c r="T14" s="32"/>
    </row>
    <row r="15" spans="1:20" ht="15.75">
      <c r="A15" s="76">
        <v>46064</v>
      </c>
      <c r="B15" s="131" t="s">
        <v>466</v>
      </c>
      <c r="C15" s="132" t="s">
        <v>475</v>
      </c>
      <c r="D15" s="132" t="s">
        <v>476</v>
      </c>
      <c r="E15" s="133" t="s">
        <v>678</v>
      </c>
      <c r="F15" s="141" t="s">
        <v>459</v>
      </c>
      <c r="G15" s="135"/>
      <c r="H15" s="136" t="s">
        <v>73</v>
      </c>
      <c r="I15" s="140" t="s">
        <v>678</v>
      </c>
      <c r="J15" s="138" t="s">
        <v>656</v>
      </c>
      <c r="K15" s="139" t="s">
        <v>34</v>
      </c>
      <c r="L15" s="138" t="s">
        <v>653</v>
      </c>
      <c r="M15" s="140" t="s">
        <v>436</v>
      </c>
      <c r="N15" s="138" t="s">
        <v>654</v>
      </c>
      <c r="O15" s="48" t="s">
        <v>560</v>
      </c>
      <c r="P15" s="18">
        <f>COUNTIF(B5:G35,"AHMED")</f>
        <v>0</v>
      </c>
      <c r="Q15" s="18">
        <f>COUNTIF(K5:M35,"AHMED")</f>
        <v>0</v>
      </c>
      <c r="R15" s="18">
        <f>COUNTIF(I5:I35,"AHMED")</f>
        <v>0</v>
      </c>
      <c r="S15" s="19">
        <f>COUNTIF(H5:H35,"AHMED")</f>
        <v>0</v>
      </c>
      <c r="T15" s="32"/>
    </row>
    <row r="16" spans="1:20" ht="15.75">
      <c r="A16" s="76">
        <v>46065</v>
      </c>
      <c r="B16" s="131" t="s">
        <v>466</v>
      </c>
      <c r="C16" s="132" t="s">
        <v>73</v>
      </c>
      <c r="D16" s="132" t="s">
        <v>476</v>
      </c>
      <c r="E16" s="133" t="s">
        <v>457</v>
      </c>
      <c r="F16" s="141" t="s">
        <v>678</v>
      </c>
      <c r="G16" s="135"/>
      <c r="H16" s="136" t="s">
        <v>449</v>
      </c>
      <c r="I16" s="140"/>
      <c r="J16" s="138" t="s">
        <v>654</v>
      </c>
      <c r="K16" s="139" t="s">
        <v>458</v>
      </c>
      <c r="L16" s="138" t="s">
        <v>656</v>
      </c>
      <c r="M16" s="140" t="s">
        <v>678</v>
      </c>
      <c r="N16" s="138" t="s">
        <v>653</v>
      </c>
      <c r="O16" s="48" t="s">
        <v>561</v>
      </c>
      <c r="P16" s="18">
        <f>COUNTIF(B5:G35,"ABDOU")</f>
        <v>4</v>
      </c>
      <c r="Q16" s="18">
        <f>COUNTIF(K5:M35,"ABDOU")</f>
        <v>8</v>
      </c>
      <c r="R16" s="18">
        <f>COUNTIF(I5:I35,"ABDOU")</f>
        <v>0</v>
      </c>
      <c r="S16" s="19">
        <f>COUNTIF(H5:H35,"ABDOU")</f>
        <v>0</v>
      </c>
      <c r="T16" s="32"/>
    </row>
    <row r="17" spans="1:20" ht="15.75">
      <c r="A17" s="76">
        <v>46066</v>
      </c>
      <c r="B17" s="131" t="s">
        <v>459</v>
      </c>
      <c r="C17" s="132" t="s">
        <v>436</v>
      </c>
      <c r="D17" s="132" t="s">
        <v>457</v>
      </c>
      <c r="E17" s="133" t="s">
        <v>476</v>
      </c>
      <c r="F17" s="141"/>
      <c r="G17" s="135"/>
      <c r="H17" s="136" t="s">
        <v>34</v>
      </c>
      <c r="I17" s="137"/>
      <c r="J17" s="138" t="s">
        <v>653</v>
      </c>
      <c r="K17" s="139" t="s">
        <v>436</v>
      </c>
      <c r="L17" s="138" t="s">
        <v>654</v>
      </c>
      <c r="M17" s="140" t="s">
        <v>459</v>
      </c>
      <c r="N17" s="138" t="s">
        <v>656</v>
      </c>
      <c r="O17" s="48" t="s">
        <v>574</v>
      </c>
      <c r="P17" s="18">
        <f>COUNTIF(B5:G35,"AMINE")</f>
        <v>1</v>
      </c>
      <c r="Q17" s="18">
        <f>COUNTIF(K5:M35,"AMINE")</f>
        <v>3</v>
      </c>
      <c r="R17" s="18">
        <f>COUNTIF(I5:I35,"AMINE")</f>
        <v>0</v>
      </c>
      <c r="S17" s="19">
        <f>COUNTIF(H5:H35,"AMINE")</f>
        <v>0</v>
      </c>
      <c r="T17" s="32"/>
    </row>
    <row r="18" spans="1:20" ht="15.75">
      <c r="A18" s="76">
        <v>46067</v>
      </c>
      <c r="B18" s="131" t="s">
        <v>466</v>
      </c>
      <c r="C18" s="132" t="s">
        <v>475</v>
      </c>
      <c r="D18" s="132" t="s">
        <v>34</v>
      </c>
      <c r="E18" s="133"/>
      <c r="F18" s="141"/>
      <c r="G18" s="135"/>
      <c r="H18" s="136" t="s">
        <v>73</v>
      </c>
      <c r="I18" s="137" t="s">
        <v>34</v>
      </c>
      <c r="J18" s="138" t="s">
        <v>656</v>
      </c>
      <c r="K18" s="139" t="s">
        <v>516</v>
      </c>
      <c r="L18" s="138" t="s">
        <v>653</v>
      </c>
      <c r="M18" s="140" t="s">
        <v>446</v>
      </c>
      <c r="N18" s="138" t="s">
        <v>654</v>
      </c>
      <c r="O18" s="57" t="s">
        <v>674</v>
      </c>
      <c r="P18" s="18">
        <f>COUNTIF(B5:G35,"RAOUF")</f>
        <v>0</v>
      </c>
      <c r="Q18" s="18">
        <f>COUNTIF(K5:M35,"RAOUF")</f>
        <v>0</v>
      </c>
      <c r="R18" s="18">
        <f>COUNTIF(I5:I35,"RAOUF")</f>
        <v>0</v>
      </c>
      <c r="S18" s="19">
        <f>COUNTIF(H5:H35,"RAOUF")</f>
        <v>0</v>
      </c>
      <c r="T18" s="32"/>
    </row>
    <row r="19" spans="1:20" ht="15.75">
      <c r="A19" s="76">
        <v>46068</v>
      </c>
      <c r="B19" s="131" t="s">
        <v>466</v>
      </c>
      <c r="C19" s="132" t="s">
        <v>475</v>
      </c>
      <c r="D19" s="132" t="s">
        <v>476</v>
      </c>
      <c r="E19" s="133" t="s">
        <v>457</v>
      </c>
      <c r="F19" s="141" t="s">
        <v>678</v>
      </c>
      <c r="G19" s="135"/>
      <c r="H19" s="136" t="s">
        <v>449</v>
      </c>
      <c r="I19" s="140" t="s">
        <v>516</v>
      </c>
      <c r="J19" s="138" t="s">
        <v>654</v>
      </c>
      <c r="K19" s="139" t="s">
        <v>678</v>
      </c>
      <c r="L19" s="138" t="s">
        <v>656</v>
      </c>
      <c r="M19" s="140" t="s">
        <v>34</v>
      </c>
      <c r="N19" s="138" t="s">
        <v>653</v>
      </c>
      <c r="O19" s="57" t="s">
        <v>695</v>
      </c>
      <c r="P19" s="58">
        <f>COUNTIF(B5:G35,"NOUR")</f>
        <v>12</v>
      </c>
      <c r="Q19" s="58">
        <f>COUNTIF(K5:M35,"NOUR")</f>
        <v>8</v>
      </c>
      <c r="R19" s="58">
        <f>COUNTIF(I5:I35,"NOUR")</f>
        <v>3</v>
      </c>
      <c r="S19" s="59">
        <f>COUNTIF(H5:H35,"NOUR")</f>
        <v>0</v>
      </c>
      <c r="T19" s="32"/>
    </row>
    <row r="20" spans="1:20" ht="15.75">
      <c r="A20" s="76">
        <v>46069</v>
      </c>
      <c r="B20" s="131" t="s">
        <v>466</v>
      </c>
      <c r="C20" s="132" t="s">
        <v>475</v>
      </c>
      <c r="D20" s="132" t="s">
        <v>476</v>
      </c>
      <c r="E20" s="133" t="s">
        <v>457</v>
      </c>
      <c r="F20" s="134" t="s">
        <v>73</v>
      </c>
      <c r="G20" s="135"/>
      <c r="H20" s="136" t="s">
        <v>34</v>
      </c>
      <c r="I20" s="140"/>
      <c r="J20" s="138" t="s">
        <v>653</v>
      </c>
      <c r="K20" s="142" t="s">
        <v>458</v>
      </c>
      <c r="L20" s="138" t="s">
        <v>654</v>
      </c>
      <c r="M20" s="140" t="s">
        <v>446</v>
      </c>
      <c r="N20" s="138" t="s">
        <v>656</v>
      </c>
      <c r="O20" s="60" t="s">
        <v>702</v>
      </c>
      <c r="P20" s="61">
        <f>COUNTIF(B5:G35,"SALAH")</f>
        <v>0</v>
      </c>
      <c r="Q20" s="61">
        <f>COUNTIF(K5:M35,"SALAH")</f>
        <v>0</v>
      </c>
      <c r="R20" s="61">
        <f>COUNTIF(I5:I35,"SALAH")</f>
        <v>2</v>
      </c>
      <c r="S20" s="62">
        <f>COUNTIF(H5:H35,"SALAH")</f>
        <v>0</v>
      </c>
      <c r="T20" s="143"/>
    </row>
    <row r="21" spans="1:20" ht="15.75">
      <c r="A21" s="76">
        <v>46070</v>
      </c>
      <c r="B21" s="131" t="s">
        <v>457</v>
      </c>
      <c r="C21" s="132" t="s">
        <v>475</v>
      </c>
      <c r="D21" s="132" t="s">
        <v>516</v>
      </c>
      <c r="E21" s="133" t="s">
        <v>17</v>
      </c>
      <c r="F21" s="134" t="s">
        <v>459</v>
      </c>
      <c r="G21" s="135"/>
      <c r="H21" s="136" t="s">
        <v>73</v>
      </c>
      <c r="I21" s="137" t="s">
        <v>475</v>
      </c>
      <c r="J21" s="138" t="s">
        <v>656</v>
      </c>
      <c r="K21" s="139" t="s">
        <v>516</v>
      </c>
      <c r="L21" s="138" t="s">
        <v>653</v>
      </c>
      <c r="M21" s="140" t="s">
        <v>572</v>
      </c>
      <c r="N21" s="144" t="s">
        <v>654</v>
      </c>
      <c r="O21" s="64"/>
      <c r="P21" s="65"/>
      <c r="Q21" s="66"/>
      <c r="R21" s="66"/>
      <c r="S21" s="67"/>
      <c r="T21" s="68"/>
    </row>
    <row r="22" spans="1:20" ht="15.75">
      <c r="A22" s="76">
        <v>46071</v>
      </c>
      <c r="B22" s="131" t="s">
        <v>466</v>
      </c>
      <c r="C22" s="132" t="s">
        <v>475</v>
      </c>
      <c r="D22" s="132" t="s">
        <v>476</v>
      </c>
      <c r="E22" s="133" t="s">
        <v>457</v>
      </c>
      <c r="F22" s="134" t="s">
        <v>678</v>
      </c>
      <c r="G22" s="135"/>
      <c r="H22" s="136" t="s">
        <v>449</v>
      </c>
      <c r="I22" s="137"/>
      <c r="J22" s="138" t="s">
        <v>654</v>
      </c>
      <c r="K22" s="139" t="s">
        <v>34</v>
      </c>
      <c r="L22" s="138" t="s">
        <v>656</v>
      </c>
      <c r="M22" s="140" t="s">
        <v>436</v>
      </c>
      <c r="N22" s="138" t="s">
        <v>653</v>
      </c>
    </row>
    <row r="23" spans="1:20" ht="15.75">
      <c r="A23" s="76">
        <v>46072</v>
      </c>
      <c r="B23" s="131" t="s">
        <v>466</v>
      </c>
      <c r="C23" s="132" t="s">
        <v>73</v>
      </c>
      <c r="D23" s="132" t="s">
        <v>476</v>
      </c>
      <c r="E23" s="133"/>
      <c r="F23" s="134" t="s">
        <v>678</v>
      </c>
      <c r="G23" s="135"/>
      <c r="H23" s="136" t="s">
        <v>34</v>
      </c>
      <c r="I23" s="140" t="s">
        <v>702</v>
      </c>
      <c r="J23" s="138" t="s">
        <v>653</v>
      </c>
      <c r="K23" s="139" t="s">
        <v>458</v>
      </c>
      <c r="L23" s="138" t="s">
        <v>654</v>
      </c>
      <c r="M23" s="140" t="s">
        <v>678</v>
      </c>
      <c r="N23" s="138" t="s">
        <v>656</v>
      </c>
    </row>
    <row r="24" spans="1:20" ht="15.75">
      <c r="A24" s="76">
        <v>46073</v>
      </c>
      <c r="B24" s="131" t="s">
        <v>678</v>
      </c>
      <c r="C24" s="132" t="s">
        <v>436</v>
      </c>
      <c r="D24" s="132" t="s">
        <v>457</v>
      </c>
      <c r="E24" s="133" t="s">
        <v>476</v>
      </c>
      <c r="F24" s="134"/>
      <c r="G24" s="135"/>
      <c r="H24" s="136" t="s">
        <v>73</v>
      </c>
      <c r="I24" s="140" t="s">
        <v>678</v>
      </c>
      <c r="J24" s="138" t="s">
        <v>656</v>
      </c>
      <c r="K24" s="139" t="s">
        <v>436</v>
      </c>
      <c r="L24" s="138" t="s">
        <v>653</v>
      </c>
      <c r="M24" s="140" t="s">
        <v>34</v>
      </c>
      <c r="N24" s="138" t="s">
        <v>654</v>
      </c>
    </row>
    <row r="25" spans="1:20" ht="15.75">
      <c r="A25" s="145">
        <v>46074</v>
      </c>
      <c r="B25" s="131" t="s">
        <v>466</v>
      </c>
      <c r="C25" s="132" t="s">
        <v>475</v>
      </c>
      <c r="D25" s="132" t="s">
        <v>516</v>
      </c>
      <c r="E25" s="133"/>
      <c r="F25" s="134"/>
      <c r="G25" s="135"/>
      <c r="H25" s="136" t="s">
        <v>449</v>
      </c>
      <c r="I25" s="137" t="s">
        <v>475</v>
      </c>
      <c r="J25" s="138" t="s">
        <v>654</v>
      </c>
      <c r="K25" s="139" t="s">
        <v>516</v>
      </c>
      <c r="L25" s="138" t="s">
        <v>656</v>
      </c>
      <c r="M25" s="140" t="s">
        <v>446</v>
      </c>
      <c r="N25" s="138" t="s">
        <v>653</v>
      </c>
    </row>
    <row r="26" spans="1:20" ht="15.75">
      <c r="A26" s="146">
        <v>46075</v>
      </c>
      <c r="B26" s="147" t="s">
        <v>466</v>
      </c>
      <c r="C26" s="33" t="s">
        <v>475</v>
      </c>
      <c r="D26" s="33" t="s">
        <v>476</v>
      </c>
      <c r="E26" s="148" t="s">
        <v>457</v>
      </c>
      <c r="F26" s="149" t="s">
        <v>73</v>
      </c>
      <c r="G26" s="150"/>
      <c r="H26" s="151" t="s">
        <v>34</v>
      </c>
      <c r="I26" s="97" t="s">
        <v>702</v>
      </c>
      <c r="J26" s="41" t="s">
        <v>653</v>
      </c>
      <c r="K26" s="152" t="s">
        <v>457</v>
      </c>
      <c r="L26" s="41" t="s">
        <v>654</v>
      </c>
      <c r="M26" s="95"/>
      <c r="N26" s="41" t="s">
        <v>656</v>
      </c>
    </row>
    <row r="27" spans="1:20" ht="15.75">
      <c r="A27" s="146">
        <v>46076</v>
      </c>
      <c r="B27" s="147" t="s">
        <v>466</v>
      </c>
      <c r="C27" s="33" t="s">
        <v>475</v>
      </c>
      <c r="D27" s="33" t="s">
        <v>476</v>
      </c>
      <c r="E27" s="148" t="s">
        <v>457</v>
      </c>
      <c r="F27" s="153" t="s">
        <v>34</v>
      </c>
      <c r="G27" s="150"/>
      <c r="H27" s="151" t="s">
        <v>73</v>
      </c>
      <c r="I27" s="95"/>
      <c r="J27" s="41" t="s">
        <v>656</v>
      </c>
      <c r="K27" s="152" t="s">
        <v>458</v>
      </c>
      <c r="L27" s="41" t="s">
        <v>653</v>
      </c>
      <c r="M27" s="95" t="s">
        <v>449</v>
      </c>
      <c r="N27" s="41" t="s">
        <v>654</v>
      </c>
    </row>
    <row r="28" spans="1:20" ht="15.75">
      <c r="A28" s="146">
        <v>46077</v>
      </c>
      <c r="B28" s="147"/>
      <c r="C28" s="33" t="s">
        <v>475</v>
      </c>
      <c r="D28" s="33" t="s">
        <v>516</v>
      </c>
      <c r="E28" s="148" t="s">
        <v>457</v>
      </c>
      <c r="F28" s="149"/>
      <c r="G28" s="150"/>
      <c r="H28" s="151" t="s">
        <v>449</v>
      </c>
      <c r="I28" s="95" t="s">
        <v>475</v>
      </c>
      <c r="J28" s="41" t="s">
        <v>654</v>
      </c>
      <c r="K28" s="152" t="s">
        <v>516</v>
      </c>
      <c r="L28" s="41" t="s">
        <v>656</v>
      </c>
      <c r="M28" s="95" t="s">
        <v>572</v>
      </c>
      <c r="N28" s="41" t="s">
        <v>653</v>
      </c>
    </row>
    <row r="29" spans="1:20" ht="15.75">
      <c r="A29" s="146">
        <v>46078</v>
      </c>
      <c r="B29" s="147" t="s">
        <v>466</v>
      </c>
      <c r="C29" s="33" t="s">
        <v>475</v>
      </c>
      <c r="D29" s="33" t="s">
        <v>476</v>
      </c>
      <c r="E29" s="148" t="s">
        <v>457</v>
      </c>
      <c r="F29" s="149" t="s">
        <v>678</v>
      </c>
      <c r="G29" s="150"/>
      <c r="H29" s="151" t="s">
        <v>34</v>
      </c>
      <c r="I29" s="97"/>
      <c r="J29" s="41" t="s">
        <v>653</v>
      </c>
      <c r="K29" s="152" t="s">
        <v>678</v>
      </c>
      <c r="L29" s="41" t="s">
        <v>654</v>
      </c>
      <c r="M29" s="95" t="s">
        <v>436</v>
      </c>
      <c r="N29" s="41" t="s">
        <v>656</v>
      </c>
    </row>
    <row r="30" spans="1:20" ht="15.75">
      <c r="A30" s="154">
        <v>46079</v>
      </c>
      <c r="B30" s="131" t="s">
        <v>466</v>
      </c>
      <c r="C30" s="132" t="s">
        <v>34</v>
      </c>
      <c r="D30" s="132" t="s">
        <v>476</v>
      </c>
      <c r="E30" s="133"/>
      <c r="F30" s="134"/>
      <c r="G30" s="135"/>
      <c r="H30" s="136" t="s">
        <v>73</v>
      </c>
      <c r="I30" s="137"/>
      <c r="J30" s="138" t="s">
        <v>656</v>
      </c>
      <c r="K30" s="139" t="s">
        <v>34</v>
      </c>
      <c r="L30" s="138" t="s">
        <v>653</v>
      </c>
      <c r="M30" s="140" t="s">
        <v>449</v>
      </c>
      <c r="N30" s="138" t="s">
        <v>654</v>
      </c>
    </row>
    <row r="31" spans="1:20" ht="15.75">
      <c r="A31" s="154">
        <v>46080</v>
      </c>
      <c r="B31" s="131" t="s">
        <v>516</v>
      </c>
      <c r="C31" s="132" t="s">
        <v>436</v>
      </c>
      <c r="D31" s="132" t="s">
        <v>457</v>
      </c>
      <c r="E31" s="133" t="s">
        <v>476</v>
      </c>
      <c r="F31" s="134"/>
      <c r="G31" s="135"/>
      <c r="H31" s="136" t="s">
        <v>449</v>
      </c>
      <c r="I31" s="140"/>
      <c r="J31" s="138" t="s">
        <v>654</v>
      </c>
      <c r="K31" s="139" t="s">
        <v>436</v>
      </c>
      <c r="L31" s="138" t="s">
        <v>656</v>
      </c>
      <c r="M31" s="140" t="s">
        <v>446</v>
      </c>
      <c r="N31" s="138" t="s">
        <v>653</v>
      </c>
    </row>
    <row r="32" spans="1:20" ht="15.75">
      <c r="A32" s="146">
        <v>46081</v>
      </c>
      <c r="B32" s="147" t="s">
        <v>466</v>
      </c>
      <c r="C32" s="33" t="s">
        <v>475</v>
      </c>
      <c r="D32" s="33" t="s">
        <v>516</v>
      </c>
      <c r="E32" s="148" t="s">
        <v>678</v>
      </c>
      <c r="F32" s="149"/>
      <c r="G32" s="150"/>
      <c r="H32" s="151" t="s">
        <v>34</v>
      </c>
      <c r="I32" s="95" t="s">
        <v>475</v>
      </c>
      <c r="J32" s="41" t="s">
        <v>653</v>
      </c>
      <c r="K32" s="152" t="s">
        <v>516</v>
      </c>
      <c r="L32" s="41" t="s">
        <v>654</v>
      </c>
      <c r="M32" s="155" t="s">
        <v>678</v>
      </c>
      <c r="N32" s="41" t="s">
        <v>656</v>
      </c>
    </row>
    <row r="33" spans="1:14" ht="15.75">
      <c r="A33" s="156"/>
      <c r="B33" s="103"/>
      <c r="C33" s="49"/>
      <c r="D33" s="49"/>
      <c r="E33" s="157"/>
      <c r="F33" s="158"/>
      <c r="G33" s="159"/>
      <c r="H33" s="108"/>
      <c r="I33" s="109"/>
      <c r="J33" s="110" t="s">
        <v>656</v>
      </c>
      <c r="K33" s="113"/>
      <c r="L33" s="110" t="s">
        <v>653</v>
      </c>
      <c r="M33" s="112"/>
      <c r="N33" s="110" t="s">
        <v>654</v>
      </c>
    </row>
    <row r="34" spans="1:14" ht="15.75">
      <c r="A34" s="156"/>
      <c r="B34" s="103"/>
      <c r="C34" s="49"/>
      <c r="D34" s="49"/>
      <c r="E34" s="157"/>
      <c r="F34" s="158"/>
      <c r="G34" s="159"/>
      <c r="H34" s="108"/>
      <c r="I34" s="109"/>
      <c r="J34" s="110" t="s">
        <v>654</v>
      </c>
      <c r="K34" s="113"/>
      <c r="L34" s="110" t="s">
        <v>656</v>
      </c>
      <c r="M34" s="112"/>
      <c r="N34" s="110" t="s">
        <v>653</v>
      </c>
    </row>
    <row r="35" spans="1:14" ht="15.75">
      <c r="A35" s="160"/>
      <c r="B35" s="114"/>
      <c r="C35" s="72"/>
      <c r="D35" s="72"/>
      <c r="E35" s="161"/>
      <c r="F35" s="162"/>
      <c r="G35" s="163"/>
      <c r="H35" s="164"/>
      <c r="I35" s="119"/>
      <c r="J35" s="120" t="s">
        <v>653</v>
      </c>
      <c r="K35" s="121"/>
      <c r="L35" s="120" t="s">
        <v>654</v>
      </c>
      <c r="M35" s="119"/>
      <c r="N35" s="120" t="s">
        <v>656</v>
      </c>
    </row>
  </sheetData>
  <mergeCells count="8">
    <mergeCell ref="A3:A4"/>
    <mergeCell ref="A1:N2"/>
    <mergeCell ref="O1:T2"/>
    <mergeCell ref="B3:E3"/>
    <mergeCell ref="F3:G3"/>
    <mergeCell ref="I3:N3"/>
    <mergeCell ref="I4:J4"/>
    <mergeCell ref="K4:N4"/>
  </mergeCells>
  <pageMargins left="0" right="0" top="0" bottom="0" header="0" footer="0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35"/>
  <sheetViews>
    <sheetView workbookViewId="0">
      <selection activeCell="N5" sqref="N5:O35"/>
    </sheetView>
  </sheetViews>
  <sheetFormatPr baseColWidth="10" defaultColWidth="11" defaultRowHeight="15"/>
  <cols>
    <col min="1" max="1" width="21.5703125" customWidth="1"/>
    <col min="6" max="6" width="10.140625" customWidth="1"/>
    <col min="10" max="10" width="2.7109375" customWidth="1"/>
    <col min="12" max="12" width="2.85546875" customWidth="1"/>
    <col min="14" max="14" width="2.7109375" customWidth="1"/>
    <col min="15" max="15" width="39.140625" customWidth="1"/>
  </cols>
  <sheetData>
    <row r="1" spans="1:22">
      <c r="A1" s="1394" t="s">
        <v>703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2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2" ht="18.75">
      <c r="A3" s="1355" t="s">
        <v>2</v>
      </c>
      <c r="B3" s="1389" t="s">
        <v>543</v>
      </c>
      <c r="C3" s="1385"/>
      <c r="D3" s="1385"/>
      <c r="E3" s="1386"/>
      <c r="F3" s="1416" t="s">
        <v>542</v>
      </c>
      <c r="G3" s="1417"/>
      <c r="H3" s="5" t="s">
        <v>624</v>
      </c>
      <c r="I3" s="1389" t="s">
        <v>544</v>
      </c>
      <c r="J3" s="1385"/>
      <c r="K3" s="1385"/>
      <c r="L3" s="1385"/>
      <c r="M3" s="1385"/>
      <c r="N3" s="1386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10" t="s">
        <v>479</v>
      </c>
    </row>
    <row r="4" spans="1:22" ht="15.75">
      <c r="A4" s="1357"/>
      <c r="B4" s="11" t="s">
        <v>8</v>
      </c>
      <c r="C4" s="12" t="s">
        <v>9</v>
      </c>
      <c r="D4" s="12" t="s">
        <v>10</v>
      </c>
      <c r="E4" s="13" t="s">
        <v>7</v>
      </c>
      <c r="F4" s="14" t="s">
        <v>434</v>
      </c>
      <c r="G4" s="15" t="s">
        <v>625</v>
      </c>
      <c r="H4" s="16" t="s">
        <v>677</v>
      </c>
      <c r="I4" s="1421" t="s">
        <v>626</v>
      </c>
      <c r="J4" s="1422"/>
      <c r="K4" s="1423" t="s">
        <v>546</v>
      </c>
      <c r="L4" s="1424"/>
      <c r="M4" s="1424"/>
      <c r="N4" s="1425"/>
      <c r="O4" s="17" t="s">
        <v>208</v>
      </c>
      <c r="P4" s="18">
        <f>COUNTIF(B5:G35,"NASSIMA")</f>
        <v>8</v>
      </c>
      <c r="Q4" s="18">
        <f>COUNTIF(K5:M35,"NASSIMA")</f>
        <v>0</v>
      </c>
      <c r="R4" s="18">
        <f>COUNTIF(I5:I35,"NASSIMA")</f>
        <v>0</v>
      </c>
      <c r="S4" s="19">
        <f>COUNTIF(H5:H35,"NASSIMA")</f>
        <v>11</v>
      </c>
      <c r="T4" s="20"/>
    </row>
    <row r="5" spans="1:22" ht="15.75">
      <c r="A5" s="76">
        <v>46082</v>
      </c>
      <c r="B5" s="77" t="s">
        <v>466</v>
      </c>
      <c r="C5" s="78" t="s">
        <v>475</v>
      </c>
      <c r="D5" s="78"/>
      <c r="E5" s="79" t="s">
        <v>457</v>
      </c>
      <c r="F5" s="80" t="s">
        <v>34</v>
      </c>
      <c r="G5" s="81" t="s">
        <v>704</v>
      </c>
      <c r="H5" s="82" t="s">
        <v>73</v>
      </c>
      <c r="I5" s="83"/>
      <c r="J5" s="84" t="s">
        <v>653</v>
      </c>
      <c r="K5" s="85" t="s">
        <v>457</v>
      </c>
      <c r="L5" s="84" t="s">
        <v>654</v>
      </c>
      <c r="M5" s="86" t="s">
        <v>34</v>
      </c>
      <c r="N5" s="84" t="s">
        <v>613</v>
      </c>
      <c r="O5" s="31" t="s">
        <v>700</v>
      </c>
      <c r="P5" s="18">
        <f>COUNTIF(B5:G35,"YASMINE")</f>
        <v>4</v>
      </c>
      <c r="Q5" s="18">
        <f>COUNTIF(K5:M35,"YASMINE")</f>
        <v>8</v>
      </c>
      <c r="R5" s="18">
        <f>COUNTIF(I5:I35,"YASMINE")</f>
        <v>0</v>
      </c>
      <c r="S5" s="19">
        <f>COUNTIF(H5:H35,"YASMINE")</f>
        <v>10</v>
      </c>
      <c r="T5" s="32"/>
    </row>
    <row r="6" spans="1:22" ht="15.75">
      <c r="A6" s="76">
        <v>46083</v>
      </c>
      <c r="B6" s="77" t="s">
        <v>466</v>
      </c>
      <c r="C6" s="78" t="s">
        <v>475</v>
      </c>
      <c r="D6" s="78" t="s">
        <v>516</v>
      </c>
      <c r="E6" s="79" t="s">
        <v>457</v>
      </c>
      <c r="F6" s="80" t="s">
        <v>73</v>
      </c>
      <c r="G6" s="81" t="s">
        <v>704</v>
      </c>
      <c r="H6" s="87" t="s">
        <v>449</v>
      </c>
      <c r="I6" s="88"/>
      <c r="J6" s="55" t="s">
        <v>656</v>
      </c>
      <c r="K6" s="89" t="s">
        <v>458</v>
      </c>
      <c r="L6" s="55" t="s">
        <v>653</v>
      </c>
      <c r="M6" s="90" t="s">
        <v>34</v>
      </c>
      <c r="N6" s="55" t="s">
        <v>612</v>
      </c>
      <c r="O6" s="31" t="s">
        <v>685</v>
      </c>
      <c r="P6" s="18">
        <f>COUNTIF(B5:G35,"HAYAT")</f>
        <v>0</v>
      </c>
      <c r="Q6" s="18">
        <f>COUNTIF(K5:M35,"HAYAT")</f>
        <v>3</v>
      </c>
      <c r="R6" s="18">
        <f>COUNTIF(I5:I35,"HAYAT")</f>
        <v>0</v>
      </c>
      <c r="S6" s="19">
        <f>COUNTIF(H5:H35,"HAYAT")</f>
        <v>10</v>
      </c>
      <c r="T6" s="32"/>
    </row>
    <row r="7" spans="1:22" ht="15.75">
      <c r="A7" s="76">
        <v>46084</v>
      </c>
      <c r="B7" s="77"/>
      <c r="C7" s="78" t="s">
        <v>475</v>
      </c>
      <c r="D7" s="78" t="s">
        <v>516</v>
      </c>
      <c r="E7" s="79" t="s">
        <v>457</v>
      </c>
      <c r="F7" s="80" t="s">
        <v>459</v>
      </c>
      <c r="G7" s="81" t="s">
        <v>704</v>
      </c>
      <c r="H7" s="87" t="s">
        <v>34</v>
      </c>
      <c r="I7" s="90" t="s">
        <v>475</v>
      </c>
      <c r="J7" s="55" t="s">
        <v>654</v>
      </c>
      <c r="K7" s="89" t="s">
        <v>516</v>
      </c>
      <c r="L7" s="55" t="s">
        <v>656</v>
      </c>
      <c r="M7" s="90" t="s">
        <v>572</v>
      </c>
      <c r="N7" s="55" t="s">
        <v>653</v>
      </c>
      <c r="O7" s="43" t="s">
        <v>701</v>
      </c>
      <c r="P7" s="18">
        <f>COUNTIF(B5:G35,"SOUMIA")</f>
        <v>20</v>
      </c>
      <c r="Q7" s="18">
        <f>COUNTIF(K5:M35,"SOUMIA")</f>
        <v>6</v>
      </c>
      <c r="R7" s="18">
        <f>COUNTIF(I5:I35,"SOUMIA")</f>
        <v>0</v>
      </c>
      <c r="S7" s="19">
        <f>COUNTIF(H5:H35,"SOUMIA")</f>
        <v>0</v>
      </c>
      <c r="T7" s="44"/>
    </row>
    <row r="8" spans="1:22" ht="15.75">
      <c r="A8" s="76">
        <v>46085</v>
      </c>
      <c r="B8" s="77" t="s">
        <v>466</v>
      </c>
      <c r="C8" s="78" t="s">
        <v>475</v>
      </c>
      <c r="D8" s="78" t="s">
        <v>476</v>
      </c>
      <c r="E8" s="79"/>
      <c r="F8" s="80" t="s">
        <v>459</v>
      </c>
      <c r="G8" s="81" t="s">
        <v>704</v>
      </c>
      <c r="H8" s="82" t="s">
        <v>73</v>
      </c>
      <c r="I8" s="90"/>
      <c r="J8" s="55" t="s">
        <v>653</v>
      </c>
      <c r="K8" s="89" t="s">
        <v>459</v>
      </c>
      <c r="L8" s="55" t="s">
        <v>654</v>
      </c>
      <c r="M8" s="90" t="s">
        <v>449</v>
      </c>
      <c r="N8" s="55" t="s">
        <v>656</v>
      </c>
      <c r="O8" s="45" t="s">
        <v>686</v>
      </c>
      <c r="P8" s="18">
        <f>COUNTIF(B5:G35,"SARAH")</f>
        <v>19</v>
      </c>
      <c r="Q8" s="18">
        <f>COUNTIF(K5:M35,"SARAH")</f>
        <v>8</v>
      </c>
      <c r="R8" s="18">
        <f>COUNTIF(I5:I35,"SARAH")</f>
        <v>0</v>
      </c>
      <c r="S8" s="19">
        <f>COUNTIF(H5:H35,"SARAH")</f>
        <v>0</v>
      </c>
      <c r="T8" s="32"/>
    </row>
    <row r="9" spans="1:22" ht="15.75">
      <c r="A9" s="76">
        <v>46086</v>
      </c>
      <c r="B9" s="77" t="s">
        <v>466</v>
      </c>
      <c r="C9" s="78" t="s">
        <v>73</v>
      </c>
      <c r="D9" s="78" t="s">
        <v>476</v>
      </c>
      <c r="E9" s="79" t="s">
        <v>457</v>
      </c>
      <c r="F9" s="80" t="s">
        <v>459</v>
      </c>
      <c r="G9" s="81" t="s">
        <v>704</v>
      </c>
      <c r="H9" s="87" t="s">
        <v>449</v>
      </c>
      <c r="I9" s="88"/>
      <c r="J9" s="55" t="s">
        <v>656</v>
      </c>
      <c r="K9" s="89" t="s">
        <v>458</v>
      </c>
      <c r="L9" s="55" t="s">
        <v>653</v>
      </c>
      <c r="M9" s="90" t="s">
        <v>446</v>
      </c>
      <c r="N9" s="55" t="s">
        <v>654</v>
      </c>
      <c r="O9" s="46" t="s">
        <v>688</v>
      </c>
      <c r="P9" s="18">
        <f>COUNTIF(B5:G35,"DJAMEL")</f>
        <v>0</v>
      </c>
      <c r="Q9" s="18">
        <f>COUNTIF(K5:M35,"DJAMEL")</f>
        <v>7</v>
      </c>
      <c r="R9" s="18">
        <f>COUNTIF(I5:I35,"DJAMEL")</f>
        <v>0</v>
      </c>
      <c r="S9" s="19">
        <f>COUNTIF(H5:H35,"DJAMEL")</f>
        <v>0</v>
      </c>
      <c r="T9" s="47"/>
    </row>
    <row r="10" spans="1:22" ht="15.75">
      <c r="A10" s="76">
        <v>46087</v>
      </c>
      <c r="B10" s="77" t="s">
        <v>459</v>
      </c>
      <c r="C10" s="78" t="s">
        <v>436</v>
      </c>
      <c r="D10" s="78" t="s">
        <v>476</v>
      </c>
      <c r="E10" s="79" t="s">
        <v>457</v>
      </c>
      <c r="F10" s="80"/>
      <c r="G10" s="81"/>
      <c r="H10" s="87" t="s">
        <v>34</v>
      </c>
      <c r="I10" s="88"/>
      <c r="J10" s="55" t="s">
        <v>654</v>
      </c>
      <c r="K10" s="89" t="s">
        <v>459</v>
      </c>
      <c r="L10" s="55" t="s">
        <v>656</v>
      </c>
      <c r="M10" s="90" t="s">
        <v>457</v>
      </c>
      <c r="N10" s="55" t="s">
        <v>653</v>
      </c>
      <c r="O10" s="48" t="s">
        <v>691</v>
      </c>
      <c r="P10" s="18">
        <f>COUNTIF(B5:G35,"MOHAMED")</f>
        <v>20</v>
      </c>
      <c r="Q10" s="18">
        <f>COUNTIF(K5:M35,"MOHAMED")</f>
        <v>0</v>
      </c>
      <c r="R10" s="18">
        <f>COUNTIF(I5:I35,"MOHAMED")</f>
        <v>0</v>
      </c>
      <c r="S10" s="19">
        <f>COUNTIF(H5:H35,"MOHAMED")</f>
        <v>0</v>
      </c>
      <c r="T10" s="32"/>
    </row>
    <row r="11" spans="1:22" ht="15.75">
      <c r="A11" s="76">
        <v>46088</v>
      </c>
      <c r="B11" s="77" t="s">
        <v>466</v>
      </c>
      <c r="C11" s="78" t="s">
        <v>475</v>
      </c>
      <c r="D11" s="78" t="s">
        <v>516</v>
      </c>
      <c r="E11" s="79"/>
      <c r="F11" s="80" t="s">
        <v>459</v>
      </c>
      <c r="G11" s="81" t="s">
        <v>704</v>
      </c>
      <c r="H11" s="82" t="s">
        <v>73</v>
      </c>
      <c r="I11" s="91" t="s">
        <v>475</v>
      </c>
      <c r="J11" s="55" t="s">
        <v>653</v>
      </c>
      <c r="K11" s="89" t="s">
        <v>516</v>
      </c>
      <c r="L11" s="55" t="s">
        <v>654</v>
      </c>
      <c r="M11" s="90" t="s">
        <v>446</v>
      </c>
      <c r="N11" s="55" t="s">
        <v>656</v>
      </c>
      <c r="O11" s="48" t="s">
        <v>693</v>
      </c>
      <c r="P11" s="18">
        <f>COUNTIF(B5:G35,"HICHEM")</f>
        <v>17</v>
      </c>
      <c r="Q11" s="18">
        <f>COUNTIF(K5:M35,"HICHEM")</f>
        <v>0</v>
      </c>
      <c r="R11" s="18">
        <f>COUNTIF(I5:I35,"HICHEM")</f>
        <v>0</v>
      </c>
      <c r="S11" s="19">
        <f>COUNTIF(H5:H35,"HICHEM")</f>
        <v>0</v>
      </c>
      <c r="T11" s="32"/>
    </row>
    <row r="12" spans="1:22" ht="15.75">
      <c r="A12" s="76">
        <v>46089</v>
      </c>
      <c r="B12" s="77" t="s">
        <v>466</v>
      </c>
      <c r="C12" s="78" t="s">
        <v>475</v>
      </c>
      <c r="D12" s="78" t="s">
        <v>476</v>
      </c>
      <c r="E12" s="79" t="s">
        <v>457</v>
      </c>
      <c r="F12" s="80" t="s">
        <v>73</v>
      </c>
      <c r="G12" s="81" t="s">
        <v>704</v>
      </c>
      <c r="H12" s="87" t="s">
        <v>449</v>
      </c>
      <c r="I12" s="90"/>
      <c r="J12" s="55" t="s">
        <v>656</v>
      </c>
      <c r="K12" s="85" t="s">
        <v>457</v>
      </c>
      <c r="L12" s="55" t="s">
        <v>653</v>
      </c>
      <c r="M12" s="90" t="s">
        <v>34</v>
      </c>
      <c r="N12" s="55" t="s">
        <v>654</v>
      </c>
      <c r="O12" s="48" t="s">
        <v>694</v>
      </c>
      <c r="P12" s="18">
        <f>COUNTIF(B5:E35,"RACHID")</f>
        <v>18</v>
      </c>
      <c r="Q12" s="18">
        <f>COUNTIF(K5:M35,"RACHID")</f>
        <v>0</v>
      </c>
      <c r="R12" s="18">
        <f>COUNTIF(I5:I35,"RACHID")</f>
        <v>8</v>
      </c>
      <c r="S12" s="19">
        <f>COUNTIF(H5:H35,"HICHEM")</f>
        <v>0</v>
      </c>
      <c r="T12" s="32"/>
    </row>
    <row r="13" spans="1:22" ht="15.75">
      <c r="A13" s="76">
        <v>46090</v>
      </c>
      <c r="B13" s="77" t="s">
        <v>466</v>
      </c>
      <c r="C13" s="78" t="s">
        <v>475</v>
      </c>
      <c r="D13" s="78" t="s">
        <v>476</v>
      </c>
      <c r="E13" s="79" t="s">
        <v>457</v>
      </c>
      <c r="F13" s="80" t="s">
        <v>73</v>
      </c>
      <c r="G13" s="81" t="s">
        <v>704</v>
      </c>
      <c r="H13" s="87" t="s">
        <v>34</v>
      </c>
      <c r="I13" s="88"/>
      <c r="J13" s="55" t="s">
        <v>654</v>
      </c>
      <c r="K13" s="89" t="s">
        <v>458</v>
      </c>
      <c r="L13" s="55" t="s">
        <v>656</v>
      </c>
      <c r="M13" s="90" t="s">
        <v>436</v>
      </c>
      <c r="N13" s="55" t="s">
        <v>653</v>
      </c>
      <c r="O13" s="48" t="s">
        <v>558</v>
      </c>
      <c r="P13" s="18">
        <f>COUNTIF(B5:G35,"HOCINE")</f>
        <v>11</v>
      </c>
      <c r="Q13" s="18">
        <f>COUNTIF(K5:M35,"HOCINE")</f>
        <v>12</v>
      </c>
      <c r="R13" s="18">
        <f>COUNTIF(I5:I35,"HOCINE")</f>
        <v>0</v>
      </c>
      <c r="S13" s="19">
        <f>COUNTIF(H5:H35,"HOCINE")</f>
        <v>0</v>
      </c>
      <c r="T13" s="32"/>
    </row>
    <row r="14" spans="1:22" ht="15.75">
      <c r="A14" s="76">
        <v>46091</v>
      </c>
      <c r="B14" s="77" t="s">
        <v>457</v>
      </c>
      <c r="C14" s="78" t="s">
        <v>475</v>
      </c>
      <c r="D14" s="78" t="s">
        <v>516</v>
      </c>
      <c r="E14" s="79"/>
      <c r="F14" s="80" t="s">
        <v>459</v>
      </c>
      <c r="G14" s="81" t="s">
        <v>704</v>
      </c>
      <c r="H14" s="82" t="s">
        <v>73</v>
      </c>
      <c r="I14" s="88" t="s">
        <v>475</v>
      </c>
      <c r="J14" s="55" t="s">
        <v>653</v>
      </c>
      <c r="K14" s="89" t="s">
        <v>516</v>
      </c>
      <c r="L14" s="55" t="s">
        <v>654</v>
      </c>
      <c r="M14" s="90" t="s">
        <v>572</v>
      </c>
      <c r="N14" s="55" t="s">
        <v>656</v>
      </c>
      <c r="O14" s="48" t="s">
        <v>559</v>
      </c>
      <c r="P14" s="18">
        <f>COUNTIF(B5:G35,"TCHIKOU")</f>
        <v>0</v>
      </c>
      <c r="Q14" s="18">
        <f>COUNTIF(K5:M35,"TCHIKOU")</f>
        <v>4</v>
      </c>
      <c r="R14" s="18">
        <f>COUNTIF(I5:I35,"TCHIKOU")</f>
        <v>0</v>
      </c>
      <c r="S14" s="19">
        <f>COUNTIF(H5:H35,"TCHIKOU")</f>
        <v>0</v>
      </c>
      <c r="T14" s="32"/>
    </row>
    <row r="15" spans="1:22" ht="15.75">
      <c r="A15" s="76">
        <v>46092</v>
      </c>
      <c r="B15" s="77" t="s">
        <v>466</v>
      </c>
      <c r="C15" s="78" t="s">
        <v>475</v>
      </c>
      <c r="D15" s="78" t="s">
        <v>476</v>
      </c>
      <c r="E15" s="79" t="s">
        <v>678</v>
      </c>
      <c r="F15" s="80" t="s">
        <v>459</v>
      </c>
      <c r="G15" s="81" t="s">
        <v>704</v>
      </c>
      <c r="H15" s="87" t="s">
        <v>449</v>
      </c>
      <c r="I15" s="90"/>
      <c r="J15" s="55" t="s">
        <v>656</v>
      </c>
      <c r="K15" s="89" t="s">
        <v>459</v>
      </c>
      <c r="L15" s="55" t="s">
        <v>653</v>
      </c>
      <c r="M15" s="90" t="s">
        <v>678</v>
      </c>
      <c r="N15" s="55" t="s">
        <v>654</v>
      </c>
      <c r="O15" s="48" t="s">
        <v>560</v>
      </c>
      <c r="P15" s="18">
        <f>COUNTIF(B5:G35,"AHMED")</f>
        <v>0</v>
      </c>
      <c r="Q15" s="18">
        <f>COUNTIF(K5:M35,"AHMED")</f>
        <v>0</v>
      </c>
      <c r="R15" s="18">
        <f>COUNTIF(I5:I35,"AHMED")</f>
        <v>0</v>
      </c>
      <c r="S15" s="19">
        <f>COUNTIF(H5:H35,"AHMED")</f>
        <v>0</v>
      </c>
      <c r="T15" s="32"/>
      <c r="U15" s="1426"/>
      <c r="V15" s="1426"/>
    </row>
    <row r="16" spans="1:22" ht="15.75">
      <c r="A16" s="76">
        <v>46093</v>
      </c>
      <c r="B16" s="77" t="s">
        <v>466</v>
      </c>
      <c r="C16" s="78" t="s">
        <v>73</v>
      </c>
      <c r="D16" s="78" t="s">
        <v>476</v>
      </c>
      <c r="E16" s="79" t="s">
        <v>457</v>
      </c>
      <c r="F16" s="80" t="s">
        <v>459</v>
      </c>
      <c r="G16" s="81" t="s">
        <v>704</v>
      </c>
      <c r="H16" s="87" t="s">
        <v>34</v>
      </c>
      <c r="I16" s="90"/>
      <c r="J16" s="55" t="s">
        <v>654</v>
      </c>
      <c r="K16" s="89" t="s">
        <v>458</v>
      </c>
      <c r="L16" s="55" t="s">
        <v>656</v>
      </c>
      <c r="M16" s="90" t="s">
        <v>446</v>
      </c>
      <c r="N16" s="55" t="s">
        <v>653</v>
      </c>
      <c r="O16" s="48" t="s">
        <v>561</v>
      </c>
      <c r="P16" s="18">
        <f>COUNTIF(B5:G35,"ABDOU")</f>
        <v>3</v>
      </c>
      <c r="Q16" s="18">
        <f>COUNTIF(K5:M35,"ABDOU")</f>
        <v>4</v>
      </c>
      <c r="R16" s="18">
        <f>COUNTIF(I5:I35,"ABDOU")</f>
        <v>0</v>
      </c>
      <c r="S16" s="19">
        <f>COUNTIF(H5:H35,"ABDOU")</f>
        <v>0</v>
      </c>
      <c r="T16" s="32"/>
    </row>
    <row r="17" spans="1:20" ht="15.75">
      <c r="A17" s="76">
        <v>46094</v>
      </c>
      <c r="B17" s="77" t="s">
        <v>678</v>
      </c>
      <c r="C17" s="78" t="s">
        <v>436</v>
      </c>
      <c r="D17" s="78" t="s">
        <v>476</v>
      </c>
      <c r="E17" s="79" t="s">
        <v>457</v>
      </c>
      <c r="F17" s="80" t="s">
        <v>459</v>
      </c>
      <c r="G17" s="81"/>
      <c r="H17" s="82" t="s">
        <v>73</v>
      </c>
      <c r="I17" s="88"/>
      <c r="J17" s="55" t="s">
        <v>653</v>
      </c>
      <c r="K17" s="89" t="s">
        <v>436</v>
      </c>
      <c r="L17" s="55" t="s">
        <v>654</v>
      </c>
      <c r="M17" s="90" t="s">
        <v>678</v>
      </c>
      <c r="N17" s="55" t="s">
        <v>656</v>
      </c>
      <c r="O17" s="48" t="s">
        <v>574</v>
      </c>
      <c r="P17" s="18">
        <f>COUNTIF(B5:G35,"AMINE")</f>
        <v>0</v>
      </c>
      <c r="Q17" s="18">
        <f>COUNTIF(K5:M35,"AMINE")</f>
        <v>5</v>
      </c>
      <c r="R17" s="18">
        <f>COUNTIF(I5:I35,"AMINE")</f>
        <v>0</v>
      </c>
      <c r="S17" s="19">
        <f>COUNTIF(H5:H35,"AMINE")</f>
        <v>0</v>
      </c>
      <c r="T17" s="32"/>
    </row>
    <row r="18" spans="1:20" ht="15.75">
      <c r="A18" s="76">
        <v>46095</v>
      </c>
      <c r="B18" s="77" t="s">
        <v>466</v>
      </c>
      <c r="C18" s="78" t="s">
        <v>475</v>
      </c>
      <c r="D18" s="78" t="s">
        <v>516</v>
      </c>
      <c r="E18" s="79"/>
      <c r="F18" s="80" t="s">
        <v>459</v>
      </c>
      <c r="G18" s="81" t="s">
        <v>704</v>
      </c>
      <c r="H18" s="87" t="s">
        <v>449</v>
      </c>
      <c r="I18" s="88" t="s">
        <v>475</v>
      </c>
      <c r="J18" s="55" t="s">
        <v>656</v>
      </c>
      <c r="K18" s="89" t="s">
        <v>516</v>
      </c>
      <c r="L18" s="55" t="s">
        <v>653</v>
      </c>
      <c r="M18" s="90" t="s">
        <v>34</v>
      </c>
      <c r="N18" s="55" t="s">
        <v>654</v>
      </c>
      <c r="O18" s="57" t="s">
        <v>674</v>
      </c>
      <c r="P18" s="18">
        <f>COUNTIF(B5:G35,"RAOUF")</f>
        <v>0</v>
      </c>
      <c r="Q18" s="18">
        <f>COUNTIF(K5:M35,"RAOUF")</f>
        <v>0</v>
      </c>
      <c r="R18" s="18">
        <f>COUNTIF(I5:I35,"RAOUF")</f>
        <v>0</v>
      </c>
      <c r="S18" s="19">
        <f>COUNTIF(H5:H35,"RAOUF")</f>
        <v>0</v>
      </c>
      <c r="T18" s="32"/>
    </row>
    <row r="19" spans="1:20" ht="15.75">
      <c r="A19" s="76">
        <v>46096</v>
      </c>
      <c r="B19" s="77" t="s">
        <v>466</v>
      </c>
      <c r="C19" s="78"/>
      <c r="D19" s="78" t="s">
        <v>476</v>
      </c>
      <c r="E19" s="79" t="s">
        <v>457</v>
      </c>
      <c r="F19" s="80" t="s">
        <v>73</v>
      </c>
      <c r="G19" s="81" t="s">
        <v>704</v>
      </c>
      <c r="H19" s="87" t="s">
        <v>34</v>
      </c>
      <c r="I19" s="90"/>
      <c r="J19" s="55" t="s">
        <v>654</v>
      </c>
      <c r="K19" s="85" t="s">
        <v>457</v>
      </c>
      <c r="L19" s="55" t="s">
        <v>656</v>
      </c>
      <c r="M19" s="90" t="s">
        <v>436</v>
      </c>
      <c r="N19" s="55" t="s">
        <v>653</v>
      </c>
      <c r="O19" s="57" t="s">
        <v>695</v>
      </c>
      <c r="P19" s="58">
        <f>COUNTIF(B5:G35,"NOUR")</f>
        <v>5</v>
      </c>
      <c r="Q19" s="58">
        <f>COUNTIF(K5:M35,"NOUR")</f>
        <v>3</v>
      </c>
      <c r="R19" s="58">
        <f>COUNTIF(I5:I35,"NOUR")</f>
        <v>1</v>
      </c>
      <c r="S19" s="59">
        <f>COUNTIF(H5:H35,"NOUR")</f>
        <v>0</v>
      </c>
      <c r="T19" s="32"/>
    </row>
    <row r="20" spans="1:20" ht="15.75">
      <c r="A20" s="76">
        <v>46097</v>
      </c>
      <c r="B20" s="77" t="s">
        <v>466</v>
      </c>
      <c r="C20" s="78"/>
      <c r="D20" s="78" t="s">
        <v>476</v>
      </c>
      <c r="E20" s="79" t="s">
        <v>457</v>
      </c>
      <c r="F20" s="80" t="s">
        <v>34</v>
      </c>
      <c r="G20" s="81" t="s">
        <v>704</v>
      </c>
      <c r="H20" s="82" t="s">
        <v>73</v>
      </c>
      <c r="I20" s="90"/>
      <c r="J20" s="55" t="s">
        <v>653</v>
      </c>
      <c r="K20" s="89" t="s">
        <v>457</v>
      </c>
      <c r="L20" s="55" t="s">
        <v>654</v>
      </c>
      <c r="M20" s="90" t="s">
        <v>449</v>
      </c>
      <c r="N20" s="55" t="s">
        <v>656</v>
      </c>
      <c r="O20" s="60" t="s">
        <v>705</v>
      </c>
      <c r="P20" s="61">
        <f>COUNTIF(F5:H35,"SABRINA")</f>
        <v>25</v>
      </c>
      <c r="Q20" s="61">
        <f>COUNTIF(K5:M35,"SABRINA")</f>
        <v>0</v>
      </c>
      <c r="R20" s="62">
        <f>COUNTIF(I5:I35,"SABRINA")</f>
        <v>0</v>
      </c>
      <c r="S20" s="59">
        <f>COUNTIF(H5:H35,"SABRINA")</f>
        <v>0</v>
      </c>
      <c r="T20" s="63"/>
    </row>
    <row r="21" spans="1:20" ht="15.75">
      <c r="A21" s="76">
        <v>46098</v>
      </c>
      <c r="B21" s="77" t="s">
        <v>459</v>
      </c>
      <c r="C21" s="78" t="s">
        <v>475</v>
      </c>
      <c r="D21" s="78" t="s">
        <v>516</v>
      </c>
      <c r="E21" s="79" t="s">
        <v>457</v>
      </c>
      <c r="F21" s="80"/>
      <c r="G21" s="81" t="s">
        <v>704</v>
      </c>
      <c r="H21" s="87" t="s">
        <v>449</v>
      </c>
      <c r="I21" s="88" t="s">
        <v>475</v>
      </c>
      <c r="J21" s="55" t="s">
        <v>656</v>
      </c>
      <c r="K21" s="89" t="s">
        <v>516</v>
      </c>
      <c r="L21" s="55" t="s">
        <v>653</v>
      </c>
      <c r="M21" s="90" t="s">
        <v>572</v>
      </c>
      <c r="N21" s="55" t="s">
        <v>654</v>
      </c>
      <c r="O21" s="64"/>
      <c r="P21" s="65"/>
      <c r="Q21" s="66"/>
      <c r="R21" s="66"/>
      <c r="S21" s="67"/>
      <c r="T21" s="68"/>
    </row>
    <row r="22" spans="1:20" ht="15.75">
      <c r="A22" s="76">
        <v>46099</v>
      </c>
      <c r="B22" s="77" t="s">
        <v>466</v>
      </c>
      <c r="C22" s="78" t="s">
        <v>475</v>
      </c>
      <c r="D22" s="78" t="s">
        <v>476</v>
      </c>
      <c r="E22" s="79"/>
      <c r="F22" s="80" t="s">
        <v>459</v>
      </c>
      <c r="G22" s="81" t="s">
        <v>704</v>
      </c>
      <c r="H22" s="87" t="s">
        <v>34</v>
      </c>
      <c r="I22" s="88"/>
      <c r="J22" s="55" t="s">
        <v>654</v>
      </c>
      <c r="K22" s="89" t="s">
        <v>459</v>
      </c>
      <c r="L22" s="55" t="s">
        <v>656</v>
      </c>
      <c r="M22" s="90" t="s">
        <v>516</v>
      </c>
      <c r="N22" s="55" t="s">
        <v>653</v>
      </c>
    </row>
    <row r="23" spans="1:20" ht="15.75">
      <c r="A23" s="76">
        <v>46100</v>
      </c>
      <c r="B23" s="77" t="s">
        <v>466</v>
      </c>
      <c r="C23" s="78" t="s">
        <v>34</v>
      </c>
      <c r="D23" s="78"/>
      <c r="E23" s="79"/>
      <c r="F23" s="80" t="s">
        <v>459</v>
      </c>
      <c r="G23" s="81" t="s">
        <v>704</v>
      </c>
      <c r="H23" s="82" t="s">
        <v>73</v>
      </c>
      <c r="I23" s="90"/>
      <c r="J23" s="55" t="s">
        <v>653</v>
      </c>
      <c r="K23" s="89" t="s">
        <v>457</v>
      </c>
      <c r="L23" s="55" t="s">
        <v>654</v>
      </c>
      <c r="M23" s="90" t="s">
        <v>34</v>
      </c>
      <c r="N23" s="55" t="s">
        <v>656</v>
      </c>
    </row>
    <row r="24" spans="1:20" ht="15.75">
      <c r="A24" s="76">
        <v>46101</v>
      </c>
      <c r="B24" s="1427" t="s">
        <v>459</v>
      </c>
      <c r="C24" s="1428"/>
      <c r="D24" s="1428"/>
      <c r="E24" s="1429"/>
      <c r="F24" s="92"/>
      <c r="G24" s="93"/>
      <c r="H24" s="94" t="s">
        <v>73</v>
      </c>
      <c r="I24" s="95"/>
      <c r="J24" s="41" t="s">
        <v>656</v>
      </c>
      <c r="K24" s="96" t="s">
        <v>459</v>
      </c>
      <c r="L24" s="41" t="s">
        <v>653</v>
      </c>
      <c r="M24" s="95"/>
      <c r="N24" s="41" t="s">
        <v>654</v>
      </c>
    </row>
    <row r="25" spans="1:20" ht="15.75">
      <c r="A25" s="76">
        <v>46102</v>
      </c>
      <c r="B25" s="1427" t="s">
        <v>516</v>
      </c>
      <c r="C25" s="1428"/>
      <c r="D25" s="1428"/>
      <c r="E25" s="1429"/>
      <c r="F25" s="92"/>
      <c r="G25" s="93"/>
      <c r="H25" s="94" t="s">
        <v>34</v>
      </c>
      <c r="I25" s="97"/>
      <c r="J25" s="41" t="s">
        <v>654</v>
      </c>
      <c r="K25" s="96" t="s">
        <v>516</v>
      </c>
      <c r="L25" s="41" t="s">
        <v>656</v>
      </c>
      <c r="M25" s="95"/>
      <c r="N25" s="41" t="s">
        <v>653</v>
      </c>
    </row>
    <row r="26" spans="1:20" ht="15.75">
      <c r="A26" s="76">
        <v>46103</v>
      </c>
      <c r="B26" s="1430" t="s">
        <v>34</v>
      </c>
      <c r="C26" s="1431"/>
      <c r="D26" s="1427" t="s">
        <v>516</v>
      </c>
      <c r="E26" s="1429"/>
      <c r="F26" s="92"/>
      <c r="G26" s="93"/>
      <c r="H26" s="98" t="s">
        <v>449</v>
      </c>
      <c r="I26" s="97"/>
      <c r="J26" s="41" t="s">
        <v>653</v>
      </c>
      <c r="K26" s="99" t="s">
        <v>34</v>
      </c>
      <c r="L26" s="41" t="s">
        <v>654</v>
      </c>
      <c r="M26" s="100" t="s">
        <v>516</v>
      </c>
      <c r="N26" s="41" t="s">
        <v>656</v>
      </c>
    </row>
    <row r="27" spans="1:20" ht="15.75">
      <c r="A27" s="76">
        <v>46104</v>
      </c>
      <c r="B27" s="101" t="s">
        <v>466</v>
      </c>
      <c r="C27" s="78"/>
      <c r="D27" s="78" t="s">
        <v>476</v>
      </c>
      <c r="E27" s="79"/>
      <c r="F27" s="80"/>
      <c r="G27" s="81" t="s">
        <v>704</v>
      </c>
      <c r="H27" s="87" t="s">
        <v>449</v>
      </c>
      <c r="I27" s="90"/>
      <c r="J27" s="55" t="s">
        <v>656</v>
      </c>
      <c r="K27" s="89" t="s">
        <v>458</v>
      </c>
      <c r="L27" s="55" t="s">
        <v>653</v>
      </c>
      <c r="M27" s="90" t="s">
        <v>34</v>
      </c>
      <c r="N27" s="55" t="s">
        <v>654</v>
      </c>
    </row>
    <row r="28" spans="1:20" ht="15.75">
      <c r="A28" s="76">
        <v>46105</v>
      </c>
      <c r="B28" s="101" t="s">
        <v>457</v>
      </c>
      <c r="C28" s="78" t="s">
        <v>475</v>
      </c>
      <c r="D28" s="78" t="s">
        <v>516</v>
      </c>
      <c r="E28" s="79" t="s">
        <v>459</v>
      </c>
      <c r="F28" s="80"/>
      <c r="G28" s="81" t="s">
        <v>704</v>
      </c>
      <c r="H28" s="87" t="s">
        <v>34</v>
      </c>
      <c r="I28" s="90" t="s">
        <v>475</v>
      </c>
      <c r="J28" s="55" t="s">
        <v>654</v>
      </c>
      <c r="K28" s="89" t="s">
        <v>516</v>
      </c>
      <c r="L28" s="55" t="s">
        <v>656</v>
      </c>
      <c r="M28" s="90" t="s">
        <v>572</v>
      </c>
      <c r="N28" s="55" t="s">
        <v>653</v>
      </c>
    </row>
    <row r="29" spans="1:20" ht="15.75">
      <c r="A29" s="76">
        <v>46106</v>
      </c>
      <c r="B29" s="101" t="s">
        <v>466</v>
      </c>
      <c r="C29" s="78" t="s">
        <v>475</v>
      </c>
      <c r="D29" s="78" t="s">
        <v>476</v>
      </c>
      <c r="E29" s="79" t="s">
        <v>678</v>
      </c>
      <c r="F29" s="80" t="s">
        <v>459</v>
      </c>
      <c r="G29" s="81" t="s">
        <v>704</v>
      </c>
      <c r="H29" s="82" t="s">
        <v>73</v>
      </c>
      <c r="I29" s="88" t="s">
        <v>678</v>
      </c>
      <c r="J29" s="55" t="s">
        <v>653</v>
      </c>
      <c r="K29" s="89" t="s">
        <v>459</v>
      </c>
      <c r="L29" s="55" t="s">
        <v>654</v>
      </c>
      <c r="M29" s="90" t="s">
        <v>449</v>
      </c>
      <c r="N29" s="55" t="s">
        <v>656</v>
      </c>
    </row>
    <row r="30" spans="1:20" ht="15.75">
      <c r="A30" s="76">
        <v>46107</v>
      </c>
      <c r="B30" s="101" t="s">
        <v>466</v>
      </c>
      <c r="C30" s="78" t="s">
        <v>73</v>
      </c>
      <c r="D30" s="78" t="s">
        <v>476</v>
      </c>
      <c r="E30" s="79" t="s">
        <v>457</v>
      </c>
      <c r="F30" s="80" t="s">
        <v>459</v>
      </c>
      <c r="G30" s="81" t="s">
        <v>704</v>
      </c>
      <c r="H30" s="87" t="s">
        <v>449</v>
      </c>
      <c r="I30" s="88"/>
      <c r="J30" s="55" t="s">
        <v>656</v>
      </c>
      <c r="K30" s="89" t="s">
        <v>458</v>
      </c>
      <c r="L30" s="55" t="s">
        <v>653</v>
      </c>
      <c r="M30" s="90" t="s">
        <v>457</v>
      </c>
      <c r="N30" s="55" t="s">
        <v>654</v>
      </c>
    </row>
    <row r="31" spans="1:20" ht="15.75">
      <c r="A31" s="76">
        <v>46108</v>
      </c>
      <c r="B31" s="101" t="s">
        <v>678</v>
      </c>
      <c r="C31" s="78" t="s">
        <v>436</v>
      </c>
      <c r="D31" s="78" t="s">
        <v>476</v>
      </c>
      <c r="E31" s="79" t="s">
        <v>457</v>
      </c>
      <c r="F31" s="80" t="s">
        <v>459</v>
      </c>
      <c r="G31" s="81"/>
      <c r="H31" s="87" t="s">
        <v>34</v>
      </c>
      <c r="I31" s="90"/>
      <c r="J31" s="55" t="s">
        <v>654</v>
      </c>
      <c r="K31" s="89" t="s">
        <v>436</v>
      </c>
      <c r="L31" s="55" t="s">
        <v>656</v>
      </c>
      <c r="M31" s="90" t="s">
        <v>678</v>
      </c>
      <c r="N31" s="55" t="s">
        <v>653</v>
      </c>
    </row>
    <row r="32" spans="1:20" ht="15.75">
      <c r="A32" s="76">
        <v>46109</v>
      </c>
      <c r="B32" s="101" t="s">
        <v>466</v>
      </c>
      <c r="C32" s="78" t="s">
        <v>475</v>
      </c>
      <c r="D32" s="78" t="s">
        <v>516</v>
      </c>
      <c r="E32" s="79"/>
      <c r="F32" s="80" t="s">
        <v>459</v>
      </c>
      <c r="G32" s="81" t="s">
        <v>704</v>
      </c>
      <c r="H32" s="82" t="s">
        <v>73</v>
      </c>
      <c r="I32" s="90" t="s">
        <v>475</v>
      </c>
      <c r="J32" s="55" t="s">
        <v>653</v>
      </c>
      <c r="K32" s="89" t="s">
        <v>516</v>
      </c>
      <c r="L32" s="55" t="s">
        <v>654</v>
      </c>
      <c r="M32" s="102" t="s">
        <v>446</v>
      </c>
      <c r="N32" s="55" t="s">
        <v>656</v>
      </c>
    </row>
    <row r="33" spans="1:14" ht="15.75">
      <c r="A33" s="76">
        <v>46110</v>
      </c>
      <c r="B33" s="103" t="s">
        <v>466</v>
      </c>
      <c r="C33" s="104" t="s">
        <v>475</v>
      </c>
      <c r="D33" s="104" t="s">
        <v>476</v>
      </c>
      <c r="E33" s="105" t="s">
        <v>457</v>
      </c>
      <c r="F33" s="106" t="s">
        <v>73</v>
      </c>
      <c r="G33" s="107" t="s">
        <v>704</v>
      </c>
      <c r="H33" s="108" t="s">
        <v>449</v>
      </c>
      <c r="I33" s="109"/>
      <c r="J33" s="110" t="s">
        <v>656</v>
      </c>
      <c r="K33" s="111" t="s">
        <v>457</v>
      </c>
      <c r="L33" s="110" t="s">
        <v>653</v>
      </c>
      <c r="M33" s="112" t="s">
        <v>34</v>
      </c>
      <c r="N33" s="110" t="s">
        <v>654</v>
      </c>
    </row>
    <row r="34" spans="1:14" ht="15.75">
      <c r="A34" s="76">
        <v>46111</v>
      </c>
      <c r="B34" s="103" t="s">
        <v>466</v>
      </c>
      <c r="C34" s="104" t="s">
        <v>475</v>
      </c>
      <c r="D34" s="104" t="s">
        <v>476</v>
      </c>
      <c r="E34" s="105" t="s">
        <v>457</v>
      </c>
      <c r="F34" s="106" t="s">
        <v>678</v>
      </c>
      <c r="G34" s="107" t="s">
        <v>704</v>
      </c>
      <c r="H34" s="108" t="s">
        <v>34</v>
      </c>
      <c r="I34" s="109"/>
      <c r="J34" s="110" t="s">
        <v>654</v>
      </c>
      <c r="K34" s="113" t="s">
        <v>458</v>
      </c>
      <c r="L34" s="110" t="s">
        <v>656</v>
      </c>
      <c r="M34" s="112" t="s">
        <v>516</v>
      </c>
      <c r="N34" s="110" t="s">
        <v>653</v>
      </c>
    </row>
    <row r="35" spans="1:14" ht="15.75">
      <c r="A35" s="76">
        <v>46112</v>
      </c>
      <c r="B35" s="114"/>
      <c r="C35" s="115" t="s">
        <v>475</v>
      </c>
      <c r="D35" s="115" t="s">
        <v>516</v>
      </c>
      <c r="E35" s="116" t="s">
        <v>457</v>
      </c>
      <c r="F35" s="117" t="s">
        <v>459</v>
      </c>
      <c r="G35" s="107" t="s">
        <v>704</v>
      </c>
      <c r="H35" s="118" t="s">
        <v>73</v>
      </c>
      <c r="I35" s="119" t="s">
        <v>475</v>
      </c>
      <c r="J35" s="120" t="s">
        <v>653</v>
      </c>
      <c r="K35" s="121" t="s">
        <v>516</v>
      </c>
      <c r="L35" s="120" t="s">
        <v>654</v>
      </c>
      <c r="M35" s="119" t="s">
        <v>572</v>
      </c>
      <c r="N35" s="120" t="s">
        <v>656</v>
      </c>
    </row>
  </sheetData>
  <mergeCells count="13">
    <mergeCell ref="B25:E25"/>
    <mergeCell ref="B26:C26"/>
    <mergeCell ref="D26:E26"/>
    <mergeCell ref="B3:E3"/>
    <mergeCell ref="F3:G3"/>
    <mergeCell ref="A3:A4"/>
    <mergeCell ref="A1:N2"/>
    <mergeCell ref="O1:T2"/>
    <mergeCell ref="U15:V15"/>
    <mergeCell ref="B24:E24"/>
    <mergeCell ref="I3:N3"/>
    <mergeCell ref="I4:J4"/>
    <mergeCell ref="K4:N4"/>
  </mergeCells>
  <printOptions horizontalCentered="1"/>
  <pageMargins left="0" right="0" top="0" bottom="0" header="0" footer="0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5"/>
  <sheetViews>
    <sheetView workbookViewId="0">
      <selection activeCell="H34" sqref="H34"/>
    </sheetView>
  </sheetViews>
  <sheetFormatPr baseColWidth="10" defaultColWidth="11" defaultRowHeight="15"/>
  <cols>
    <col min="1" max="1" width="20.28515625" customWidth="1"/>
    <col min="9" max="9" width="10.7109375" customWidth="1"/>
    <col min="10" max="10" width="3.7109375" customWidth="1"/>
    <col min="11" max="11" width="10.7109375" customWidth="1"/>
    <col min="12" max="12" width="3.7109375" customWidth="1"/>
    <col min="13" max="13" width="10.7109375" customWidth="1"/>
    <col min="14" max="14" width="3.7109375" customWidth="1"/>
    <col min="15" max="15" width="38.7109375" customWidth="1"/>
  </cols>
  <sheetData>
    <row r="1" spans="1:20">
      <c r="A1" s="1394" t="s">
        <v>706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0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0" ht="18.75">
      <c r="A3" s="1355" t="s">
        <v>2</v>
      </c>
      <c r="B3" s="1389" t="s">
        <v>543</v>
      </c>
      <c r="C3" s="1385"/>
      <c r="D3" s="1385"/>
      <c r="E3" s="1386"/>
      <c r="F3" s="1416" t="s">
        <v>542</v>
      </c>
      <c r="G3" s="1417"/>
      <c r="H3" s="5" t="s">
        <v>624</v>
      </c>
      <c r="I3" s="1389" t="s">
        <v>544</v>
      </c>
      <c r="J3" s="1385"/>
      <c r="K3" s="1385"/>
      <c r="L3" s="1385"/>
      <c r="M3" s="1385"/>
      <c r="N3" s="1386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10" t="s">
        <v>479</v>
      </c>
    </row>
    <row r="4" spans="1:20" ht="15.75">
      <c r="A4" s="1357"/>
      <c r="B4" s="11" t="s">
        <v>8</v>
      </c>
      <c r="C4" s="12" t="s">
        <v>9</v>
      </c>
      <c r="D4" s="12" t="s">
        <v>10</v>
      </c>
      <c r="E4" s="13" t="s">
        <v>7</v>
      </c>
      <c r="F4" s="14" t="s">
        <v>434</v>
      </c>
      <c r="G4" s="15" t="s">
        <v>625</v>
      </c>
      <c r="H4" s="16" t="s">
        <v>677</v>
      </c>
      <c r="I4" s="1421" t="s">
        <v>626</v>
      </c>
      <c r="J4" s="1422"/>
      <c r="K4" s="1423" t="s">
        <v>546</v>
      </c>
      <c r="L4" s="1424"/>
      <c r="M4" s="1424"/>
      <c r="N4" s="1425"/>
      <c r="O4" s="17" t="s">
        <v>208</v>
      </c>
      <c r="P4" s="18">
        <f>COUNTIF(B5:G35,"NASSIMA")</f>
        <v>7</v>
      </c>
      <c r="Q4" s="18">
        <f>COUNTIF(K5:M35,"NASSIMA")</f>
        <v>0</v>
      </c>
      <c r="R4" s="18">
        <f>COUNTIF(I5:I35,"NASSIMA")</f>
        <v>2</v>
      </c>
      <c r="S4" s="19">
        <f>COUNTIF(H5:H35,"NASSIMA")</f>
        <v>9</v>
      </c>
      <c r="T4" s="20"/>
    </row>
    <row r="5" spans="1:20" ht="15.75">
      <c r="A5" s="21">
        <v>46113</v>
      </c>
      <c r="B5" s="974" t="s">
        <v>466</v>
      </c>
      <c r="C5" s="975" t="s">
        <v>475</v>
      </c>
      <c r="D5" s="975" t="s">
        <v>476</v>
      </c>
      <c r="E5" s="976" t="s">
        <v>459</v>
      </c>
      <c r="F5" s="977"/>
      <c r="G5" s="976" t="s">
        <v>704</v>
      </c>
      <c r="H5" s="978" t="s">
        <v>449</v>
      </c>
      <c r="I5" s="25"/>
      <c r="J5" s="26" t="s">
        <v>653</v>
      </c>
      <c r="K5" s="27" t="s">
        <v>459</v>
      </c>
      <c r="L5" s="28" t="s">
        <v>654</v>
      </c>
      <c r="M5" s="29" t="s">
        <v>34</v>
      </c>
      <c r="N5" s="30" t="s">
        <v>613</v>
      </c>
      <c r="O5" s="31" t="s">
        <v>700</v>
      </c>
      <c r="P5" s="18">
        <f>COUNTIF(B5:G35,"YASMINE")</f>
        <v>6</v>
      </c>
      <c r="Q5" s="18">
        <f>COUNTIF(K5:M35,"YASMINE")</f>
        <v>8</v>
      </c>
      <c r="R5" s="18">
        <f>COUNTIF(I5:I35,"YASMINE")</f>
        <v>3</v>
      </c>
      <c r="S5" s="19">
        <f>COUNTIF(H5:H35,"YASMINE")</f>
        <v>10</v>
      </c>
      <c r="T5" s="32"/>
    </row>
    <row r="6" spans="1:20" ht="15.75">
      <c r="A6" s="21">
        <v>46114</v>
      </c>
      <c r="B6" s="979" t="s">
        <v>466</v>
      </c>
      <c r="C6" s="980" t="s">
        <v>73</v>
      </c>
      <c r="D6" s="975" t="s">
        <v>476</v>
      </c>
      <c r="E6" s="981" t="s">
        <v>457</v>
      </c>
      <c r="F6" s="982"/>
      <c r="G6" s="976" t="s">
        <v>704</v>
      </c>
      <c r="H6" s="983" t="s">
        <v>34</v>
      </c>
      <c r="I6" s="36"/>
      <c r="J6" s="37" t="s">
        <v>656</v>
      </c>
      <c r="K6" s="38" t="s">
        <v>516</v>
      </c>
      <c r="L6" s="39" t="s">
        <v>653</v>
      </c>
      <c r="M6" s="40" t="s">
        <v>449</v>
      </c>
      <c r="N6" s="41" t="s">
        <v>612</v>
      </c>
      <c r="O6" s="31" t="s">
        <v>685</v>
      </c>
      <c r="P6" s="18">
        <f>COUNTIF(B5:G35,"HAYAT")</f>
        <v>0</v>
      </c>
      <c r="Q6" s="18">
        <f>COUNTIF(K5:M35,"HAYAT")</f>
        <v>4</v>
      </c>
      <c r="R6" s="18">
        <f>COUNTIF(I5:I35,"HAYAT")</f>
        <v>0</v>
      </c>
      <c r="S6" s="19">
        <f>COUNTIF(H5:H35,"HAYAT")</f>
        <v>10</v>
      </c>
      <c r="T6" s="32"/>
    </row>
    <row r="7" spans="1:20" ht="15.75">
      <c r="A7" s="21">
        <v>46115</v>
      </c>
      <c r="B7" s="979" t="s">
        <v>459</v>
      </c>
      <c r="C7" s="980" t="s">
        <v>436</v>
      </c>
      <c r="D7" s="980" t="s">
        <v>457</v>
      </c>
      <c r="E7" s="981" t="s">
        <v>476</v>
      </c>
      <c r="F7" s="982"/>
      <c r="G7" s="984" t="s">
        <v>704</v>
      </c>
      <c r="H7" s="983" t="s">
        <v>73</v>
      </c>
      <c r="I7" s="38"/>
      <c r="J7" s="37" t="s">
        <v>654</v>
      </c>
      <c r="K7" s="38" t="s">
        <v>436</v>
      </c>
      <c r="L7" s="39" t="s">
        <v>656</v>
      </c>
      <c r="M7" s="40" t="s">
        <v>459</v>
      </c>
      <c r="N7" s="41" t="s">
        <v>653</v>
      </c>
      <c r="O7" s="43" t="s">
        <v>701</v>
      </c>
      <c r="P7" s="18">
        <f>COUNTIF(B5:G35,"SOUMIA")</f>
        <v>9</v>
      </c>
      <c r="Q7" s="18">
        <f>COUNTIF(K5:M35,"SOUMIA")</f>
        <v>9</v>
      </c>
      <c r="R7" s="18">
        <f>COUNTIF(I5:I35,"SOUMIA")</f>
        <v>0</v>
      </c>
      <c r="S7" s="19">
        <f>COUNTIF(H5:H35,"SOUMIA")</f>
        <v>1</v>
      </c>
      <c r="T7" s="44"/>
    </row>
    <row r="8" spans="1:20" ht="15.75">
      <c r="A8" s="21">
        <v>46116</v>
      </c>
      <c r="B8" s="979" t="s">
        <v>466</v>
      </c>
      <c r="C8" s="980" t="s">
        <v>475</v>
      </c>
      <c r="D8" s="980" t="s">
        <v>516</v>
      </c>
      <c r="E8" s="981" t="s">
        <v>457</v>
      </c>
      <c r="F8" s="982"/>
      <c r="G8" s="984"/>
      <c r="H8" s="978" t="s">
        <v>449</v>
      </c>
      <c r="I8" s="38" t="s">
        <v>475</v>
      </c>
      <c r="J8" s="37" t="s">
        <v>653</v>
      </c>
      <c r="K8" s="38" t="s">
        <v>516</v>
      </c>
      <c r="L8" s="39" t="s">
        <v>654</v>
      </c>
      <c r="M8" s="40" t="s">
        <v>34</v>
      </c>
      <c r="N8" s="41" t="s">
        <v>656</v>
      </c>
      <c r="O8" s="45" t="s">
        <v>686</v>
      </c>
      <c r="P8" s="18">
        <f>COUNTIF(B5:G35,"SARAH")</f>
        <v>19</v>
      </c>
      <c r="Q8" s="18">
        <f>COUNTIF(K5:M35,"SARAH")</f>
        <v>3</v>
      </c>
      <c r="R8" s="18">
        <f>COUNTIF(I5:I35,"SARAH")</f>
        <v>0</v>
      </c>
      <c r="S8" s="19">
        <f>COUNTIF(H5:H35,"SARAH")</f>
        <v>0</v>
      </c>
      <c r="T8" s="32"/>
    </row>
    <row r="9" spans="1:20" ht="15.75">
      <c r="A9" s="21">
        <v>46117</v>
      </c>
      <c r="B9" s="979" t="s">
        <v>466</v>
      </c>
      <c r="C9" s="980" t="s">
        <v>475</v>
      </c>
      <c r="D9" s="980" t="s">
        <v>476</v>
      </c>
      <c r="E9" s="981" t="s">
        <v>678</v>
      </c>
      <c r="F9" s="982" t="s">
        <v>73</v>
      </c>
      <c r="G9" s="984" t="s">
        <v>704</v>
      </c>
      <c r="H9" s="983" t="s">
        <v>34</v>
      </c>
      <c r="I9" s="36" t="s">
        <v>73</v>
      </c>
      <c r="J9" s="37" t="s">
        <v>656</v>
      </c>
      <c r="K9" s="38" t="s">
        <v>678</v>
      </c>
      <c r="L9" s="39" t="s">
        <v>653</v>
      </c>
      <c r="M9" s="40" t="s">
        <v>453</v>
      </c>
      <c r="N9" s="41" t="s">
        <v>654</v>
      </c>
      <c r="O9" s="46" t="s">
        <v>688</v>
      </c>
      <c r="P9" s="18">
        <f>COUNTIF(B5:G35,"DJAMEL")</f>
        <v>0</v>
      </c>
      <c r="Q9" s="18">
        <f>COUNTIF(K5:M35,"DJAMEL")</f>
        <v>7</v>
      </c>
      <c r="R9" s="18">
        <f>COUNTIF(I5:I35,"DJAMEL")</f>
        <v>0</v>
      </c>
      <c r="S9" s="19">
        <f>COUNTIF(H5:H35,"DJAMEL")</f>
        <v>0</v>
      </c>
      <c r="T9" s="47"/>
    </row>
    <row r="10" spans="1:20" ht="15.75">
      <c r="A10" s="21">
        <v>46118</v>
      </c>
      <c r="B10" s="979" t="s">
        <v>466</v>
      </c>
      <c r="C10" s="980" t="s">
        <v>475</v>
      </c>
      <c r="D10" s="980" t="s">
        <v>476</v>
      </c>
      <c r="E10" s="981" t="s">
        <v>678</v>
      </c>
      <c r="F10" s="982" t="s">
        <v>34</v>
      </c>
      <c r="G10" s="984" t="s">
        <v>704</v>
      </c>
      <c r="H10" s="983" t="s">
        <v>73</v>
      </c>
      <c r="I10" s="36" t="s">
        <v>678</v>
      </c>
      <c r="J10" s="37" t="s">
        <v>654</v>
      </c>
      <c r="K10" s="38" t="s">
        <v>458</v>
      </c>
      <c r="L10" s="39" t="s">
        <v>656</v>
      </c>
      <c r="M10" s="40" t="s">
        <v>34</v>
      </c>
      <c r="N10" s="41" t="s">
        <v>653</v>
      </c>
      <c r="O10" s="48" t="s">
        <v>691</v>
      </c>
      <c r="P10" s="18">
        <f>COUNTIF(B5:G35,"MOHAMED")</f>
        <v>22</v>
      </c>
      <c r="Q10" s="18">
        <f>COUNTIF(K5:M35,"MOHAMED")</f>
        <v>0</v>
      </c>
      <c r="R10" s="18">
        <f>COUNTIF(I5:I35,"MOHAMED")</f>
        <v>1</v>
      </c>
      <c r="S10" s="19">
        <f>COUNTIF(H5:H35,"MOHAMED")</f>
        <v>0</v>
      </c>
      <c r="T10" s="32"/>
    </row>
    <row r="11" spans="1:20" ht="15.75">
      <c r="A11" s="21">
        <v>46119</v>
      </c>
      <c r="B11" s="979" t="s">
        <v>572</v>
      </c>
      <c r="C11" s="980" t="s">
        <v>475</v>
      </c>
      <c r="D11" s="980" t="s">
        <v>516</v>
      </c>
      <c r="E11" s="981" t="s">
        <v>457</v>
      </c>
      <c r="F11" s="982"/>
      <c r="G11" s="984" t="s">
        <v>704</v>
      </c>
      <c r="H11" s="978" t="s">
        <v>449</v>
      </c>
      <c r="I11" s="38" t="s">
        <v>475</v>
      </c>
      <c r="J11" s="37" t="s">
        <v>653</v>
      </c>
      <c r="K11" s="38" t="s">
        <v>516</v>
      </c>
      <c r="L11" s="39" t="s">
        <v>654</v>
      </c>
      <c r="M11" s="40" t="s">
        <v>572</v>
      </c>
      <c r="N11" s="41" t="s">
        <v>656</v>
      </c>
      <c r="O11" s="48" t="s">
        <v>693</v>
      </c>
      <c r="P11" s="18">
        <f>COUNTIF(B5:G35,"HICHEM")</f>
        <v>22</v>
      </c>
      <c r="Q11" s="18">
        <f>COUNTIF(K5:M35,"HICHEM")</f>
        <v>0</v>
      </c>
      <c r="R11" s="18">
        <f>COUNTIF(I5:I35,"HICHEM")</f>
        <v>0</v>
      </c>
      <c r="S11" s="19">
        <f>COUNTIF(H5:H35,"HICHEM")</f>
        <v>0</v>
      </c>
      <c r="T11" s="32"/>
    </row>
    <row r="12" spans="1:20" ht="15.75">
      <c r="A12" s="21">
        <v>46120</v>
      </c>
      <c r="B12" s="979" t="s">
        <v>466</v>
      </c>
      <c r="C12" s="980" t="s">
        <v>475</v>
      </c>
      <c r="D12" s="980" t="s">
        <v>476</v>
      </c>
      <c r="E12" s="981" t="s">
        <v>459</v>
      </c>
      <c r="F12" s="982"/>
      <c r="G12" s="984" t="s">
        <v>704</v>
      </c>
      <c r="H12" s="983" t="s">
        <v>34</v>
      </c>
      <c r="I12" s="38"/>
      <c r="J12" s="37" t="s">
        <v>656</v>
      </c>
      <c r="K12" s="38" t="s">
        <v>459</v>
      </c>
      <c r="L12" s="39" t="s">
        <v>653</v>
      </c>
      <c r="M12" s="40" t="s">
        <v>449</v>
      </c>
      <c r="N12" s="41" t="s">
        <v>654</v>
      </c>
      <c r="O12" s="48" t="s">
        <v>694</v>
      </c>
      <c r="P12" s="18">
        <f>COUNTIF(B5:E35,"RACHID")</f>
        <v>21</v>
      </c>
      <c r="Q12" s="18">
        <f>COUNTIF(K5:M35,"RACHID")</f>
        <v>0</v>
      </c>
      <c r="R12" s="18">
        <f>COUNTIF(I5:I35,"RACHID")</f>
        <v>8</v>
      </c>
      <c r="S12" s="19">
        <f>COUNTIF(H5:H35,"HICHEM")</f>
        <v>0</v>
      </c>
      <c r="T12" s="32"/>
    </row>
    <row r="13" spans="1:20" ht="15.75">
      <c r="A13" s="21">
        <v>46121</v>
      </c>
      <c r="B13" s="979" t="s">
        <v>466</v>
      </c>
      <c r="C13" s="980" t="s">
        <v>34</v>
      </c>
      <c r="D13" s="980" t="s">
        <v>476</v>
      </c>
      <c r="E13" s="981" t="s">
        <v>457</v>
      </c>
      <c r="F13" s="982"/>
      <c r="G13" s="984" t="s">
        <v>704</v>
      </c>
      <c r="H13" s="983" t="s">
        <v>459</v>
      </c>
      <c r="I13" s="36"/>
      <c r="J13" s="37" t="s">
        <v>654</v>
      </c>
      <c r="K13" s="38" t="s">
        <v>34</v>
      </c>
      <c r="L13" s="39" t="s">
        <v>656</v>
      </c>
      <c r="M13" s="40" t="s">
        <v>446</v>
      </c>
      <c r="N13" s="41" t="s">
        <v>653</v>
      </c>
      <c r="O13" s="48" t="s">
        <v>558</v>
      </c>
      <c r="P13" s="18">
        <f>COUNTIF(B5:G35,"HOCINE")</f>
        <v>9</v>
      </c>
      <c r="Q13" s="18">
        <f>COUNTIF(K5:M35,"HOCINE")</f>
        <v>13</v>
      </c>
      <c r="R13" s="18">
        <f>COUNTIF(I5:I35,"HOCINE")</f>
        <v>0</v>
      </c>
      <c r="S13" s="19">
        <f>COUNTIF(H5:H35,"HOCINE")</f>
        <v>0</v>
      </c>
      <c r="T13" s="32"/>
    </row>
    <row r="14" spans="1:20" ht="15.75">
      <c r="A14" s="21">
        <v>46122</v>
      </c>
      <c r="B14" s="979" t="s">
        <v>459</v>
      </c>
      <c r="C14" s="980" t="s">
        <v>516</v>
      </c>
      <c r="D14" s="980" t="s">
        <v>457</v>
      </c>
      <c r="E14" s="981" t="s">
        <v>476</v>
      </c>
      <c r="F14" s="982"/>
      <c r="G14" s="984" t="s">
        <v>704</v>
      </c>
      <c r="H14" s="978" t="s">
        <v>449</v>
      </c>
      <c r="I14" s="36"/>
      <c r="J14" s="37" t="s">
        <v>653</v>
      </c>
      <c r="K14" s="38" t="s">
        <v>516</v>
      </c>
      <c r="L14" s="39" t="s">
        <v>654</v>
      </c>
      <c r="M14" s="40" t="s">
        <v>459</v>
      </c>
      <c r="N14" s="41" t="s">
        <v>656</v>
      </c>
      <c r="O14" s="48" t="s">
        <v>559</v>
      </c>
      <c r="P14" s="18">
        <f>COUNTIF(B5:G35,"TCHIKOU")</f>
        <v>0</v>
      </c>
      <c r="Q14" s="18">
        <f>COUNTIF(K5:M35,"TCHIKOU")</f>
        <v>3</v>
      </c>
      <c r="R14" s="18">
        <f>COUNTIF(I5:I35,"TCHIKOU")</f>
        <v>0</v>
      </c>
      <c r="S14" s="19">
        <f>COUNTIF(H5:H35,"TCHIKOU")</f>
        <v>0</v>
      </c>
      <c r="T14" s="32"/>
    </row>
    <row r="15" spans="1:20" ht="15.75">
      <c r="A15" s="21">
        <v>46123</v>
      </c>
      <c r="B15" s="979" t="s">
        <v>466</v>
      </c>
      <c r="C15" s="980" t="s">
        <v>475</v>
      </c>
      <c r="D15" s="980" t="s">
        <v>516</v>
      </c>
      <c r="E15" s="981" t="s">
        <v>457</v>
      </c>
      <c r="F15" s="982"/>
      <c r="G15" s="984"/>
      <c r="H15" s="983" t="s">
        <v>34</v>
      </c>
      <c r="I15" s="38" t="s">
        <v>475</v>
      </c>
      <c r="J15" s="37" t="s">
        <v>656</v>
      </c>
      <c r="K15" s="38" t="s">
        <v>516</v>
      </c>
      <c r="L15" s="39" t="s">
        <v>653</v>
      </c>
      <c r="M15" s="40" t="s">
        <v>34</v>
      </c>
      <c r="N15" s="41" t="s">
        <v>654</v>
      </c>
      <c r="O15" s="48" t="s">
        <v>560</v>
      </c>
      <c r="P15" s="18">
        <f>COUNTIF(B5:G35,"AHMED")</f>
        <v>0</v>
      </c>
      <c r="Q15" s="18">
        <f>COUNTIF(K5:M35,"AHMED")</f>
        <v>3</v>
      </c>
      <c r="R15" s="18">
        <f>COUNTIF(I5:I35,"AHMED")</f>
        <v>1</v>
      </c>
      <c r="S15" s="19">
        <f>COUNTIF(H5:H35,"AHMED")</f>
        <v>0</v>
      </c>
      <c r="T15" s="32"/>
    </row>
    <row r="16" spans="1:20" ht="15.75">
      <c r="A16" s="21">
        <v>46124</v>
      </c>
      <c r="B16" s="979" t="s">
        <v>466</v>
      </c>
      <c r="C16" s="980" t="s">
        <v>475</v>
      </c>
      <c r="D16" s="980" t="s">
        <v>476</v>
      </c>
      <c r="E16" s="981" t="s">
        <v>457</v>
      </c>
      <c r="F16" s="982" t="s">
        <v>34</v>
      </c>
      <c r="G16" s="984" t="s">
        <v>704</v>
      </c>
      <c r="H16" s="983" t="s">
        <v>73</v>
      </c>
      <c r="I16" s="38" t="s">
        <v>34</v>
      </c>
      <c r="J16" s="37" t="s">
        <v>654</v>
      </c>
      <c r="K16" s="38" t="s">
        <v>457</v>
      </c>
      <c r="L16" s="39" t="s">
        <v>656</v>
      </c>
      <c r="M16" s="40" t="s">
        <v>516</v>
      </c>
      <c r="N16" s="41" t="s">
        <v>653</v>
      </c>
      <c r="O16" s="48" t="s">
        <v>561</v>
      </c>
      <c r="P16" s="18">
        <f>COUNTIF(B5:G35,"ABDOU")</f>
        <v>2</v>
      </c>
      <c r="Q16" s="18">
        <f>COUNTIF(K5:M35,"ABDOU")</f>
        <v>3</v>
      </c>
      <c r="R16" s="18">
        <f>COUNTIF(I5:I35,"ABDOU")</f>
        <v>1</v>
      </c>
      <c r="S16" s="19">
        <f>COUNTIF(H5:H35,"ABDOU")</f>
        <v>0</v>
      </c>
      <c r="T16" s="32"/>
    </row>
    <row r="17" spans="1:20" ht="15.75">
      <c r="A17" s="21">
        <v>46125</v>
      </c>
      <c r="B17" s="979" t="s">
        <v>466</v>
      </c>
      <c r="C17" s="980" t="s">
        <v>475</v>
      </c>
      <c r="D17" s="980" t="s">
        <v>476</v>
      </c>
      <c r="E17" s="981" t="s">
        <v>678</v>
      </c>
      <c r="F17" s="982" t="s">
        <v>73</v>
      </c>
      <c r="G17" s="984" t="s">
        <v>704</v>
      </c>
      <c r="H17" s="978" t="s">
        <v>449</v>
      </c>
      <c r="I17" s="36" t="s">
        <v>678</v>
      </c>
      <c r="J17" s="37" t="s">
        <v>653</v>
      </c>
      <c r="K17" s="38" t="s">
        <v>458</v>
      </c>
      <c r="L17" s="39" t="s">
        <v>654</v>
      </c>
      <c r="M17" s="40" t="s">
        <v>436</v>
      </c>
      <c r="N17" s="41" t="s">
        <v>656</v>
      </c>
      <c r="O17" s="48" t="s">
        <v>574</v>
      </c>
      <c r="P17" s="18">
        <f>COUNTIF(B5:G35,"AMINE")</f>
        <v>3</v>
      </c>
      <c r="Q17" s="18">
        <f>COUNTIF(K5:M35,"AMINE")</f>
        <v>3</v>
      </c>
      <c r="R17" s="18">
        <f>COUNTIF(I5:I35,"AMINE")</f>
        <v>0</v>
      </c>
      <c r="S17" s="19">
        <f>COUNTIF(H5:H35,"AMINE")</f>
        <v>0</v>
      </c>
      <c r="T17" s="32"/>
    </row>
    <row r="18" spans="1:20" ht="15.75">
      <c r="A18" s="21">
        <v>46126</v>
      </c>
      <c r="B18" s="979" t="s">
        <v>572</v>
      </c>
      <c r="C18" s="980" t="s">
        <v>475</v>
      </c>
      <c r="D18" s="980" t="s">
        <v>516</v>
      </c>
      <c r="E18" s="981" t="s">
        <v>457</v>
      </c>
      <c r="F18" s="982"/>
      <c r="G18" s="984" t="s">
        <v>704</v>
      </c>
      <c r="H18" s="983" t="s">
        <v>34</v>
      </c>
      <c r="I18" s="36" t="s">
        <v>475</v>
      </c>
      <c r="J18" s="37" t="s">
        <v>656</v>
      </c>
      <c r="K18" s="38" t="s">
        <v>516</v>
      </c>
      <c r="L18" s="39" t="s">
        <v>653</v>
      </c>
      <c r="M18" s="40" t="s">
        <v>572</v>
      </c>
      <c r="N18" s="41" t="s">
        <v>654</v>
      </c>
      <c r="O18" s="57" t="s">
        <v>674</v>
      </c>
      <c r="P18" s="18">
        <f>COUNTIF(B5:G35,"RAOUF")</f>
        <v>0</v>
      </c>
      <c r="Q18" s="18">
        <f>COUNTIF(K5:M35,"RAOUF")</f>
        <v>0</v>
      </c>
      <c r="R18" s="18">
        <f>COUNTIF(I5:I35,"RAOUF")</f>
        <v>0</v>
      </c>
      <c r="S18" s="19">
        <f>COUNTIF(H5:H35,"RAOUF")</f>
        <v>0</v>
      </c>
      <c r="T18" s="32"/>
    </row>
    <row r="19" spans="1:20" ht="15.75">
      <c r="A19" s="21">
        <v>46127</v>
      </c>
      <c r="B19" s="979" t="s">
        <v>466</v>
      </c>
      <c r="C19" s="980" t="s">
        <v>475</v>
      </c>
      <c r="D19" s="980" t="s">
        <v>476</v>
      </c>
      <c r="E19" s="981" t="s">
        <v>459</v>
      </c>
      <c r="F19" s="982"/>
      <c r="G19" s="984" t="s">
        <v>704</v>
      </c>
      <c r="H19" s="983" t="s">
        <v>73</v>
      </c>
      <c r="I19" s="38" t="s">
        <v>34</v>
      </c>
      <c r="J19" s="37" t="s">
        <v>654</v>
      </c>
      <c r="K19" s="38" t="s">
        <v>459</v>
      </c>
      <c r="L19" s="39" t="s">
        <v>656</v>
      </c>
      <c r="M19" s="40" t="s">
        <v>449</v>
      </c>
      <c r="N19" s="41" t="s">
        <v>653</v>
      </c>
      <c r="O19" s="57" t="s">
        <v>695</v>
      </c>
      <c r="P19" s="58">
        <f>COUNTIF(B5:G35,"NOUR")</f>
        <v>9</v>
      </c>
      <c r="Q19" s="58">
        <f>COUNTIF(K5:M35,"NOUR")</f>
        <v>4</v>
      </c>
      <c r="R19" s="58">
        <f>COUNTIF(I5:I35,"NOUR")</f>
        <v>3</v>
      </c>
      <c r="S19" s="59">
        <f>COUNTIF(H5:H35,"NOUR")</f>
        <v>0</v>
      </c>
      <c r="T19" s="32"/>
    </row>
    <row r="20" spans="1:20" ht="15.75">
      <c r="A20" s="21">
        <v>46128</v>
      </c>
      <c r="B20" s="979" t="s">
        <v>466</v>
      </c>
      <c r="C20" s="980" t="s">
        <v>73</v>
      </c>
      <c r="D20" s="980" t="s">
        <v>476</v>
      </c>
      <c r="E20" s="985" t="s">
        <v>457</v>
      </c>
      <c r="F20" s="982"/>
      <c r="G20" s="984" t="s">
        <v>704</v>
      </c>
      <c r="H20" s="978" t="s">
        <v>449</v>
      </c>
      <c r="I20" s="38"/>
      <c r="J20" s="37" t="s">
        <v>653</v>
      </c>
      <c r="K20" s="38" t="s">
        <v>458</v>
      </c>
      <c r="L20" s="39" t="s">
        <v>654</v>
      </c>
      <c r="M20" s="40" t="s">
        <v>446</v>
      </c>
      <c r="N20" s="41" t="s">
        <v>656</v>
      </c>
      <c r="O20" s="60" t="s">
        <v>704</v>
      </c>
      <c r="P20" s="61">
        <f>COUNTIF(F5:H35,"SABRINA")</f>
        <v>26</v>
      </c>
      <c r="Q20" s="61">
        <f>COUNTIF(K5:M35,"SABRINA")</f>
        <v>0</v>
      </c>
      <c r="R20" s="62">
        <f>COUNTIF(I5:I35,"SABRINA")</f>
        <v>0</v>
      </c>
      <c r="S20" s="59">
        <f>COUNTIF(H5:H35,"SABRINA")</f>
        <v>0</v>
      </c>
      <c r="T20" s="63"/>
    </row>
    <row r="21" spans="1:20" ht="15.75">
      <c r="A21" s="21">
        <v>46129</v>
      </c>
      <c r="B21" s="979" t="s">
        <v>459</v>
      </c>
      <c r="C21" s="980" t="s">
        <v>436</v>
      </c>
      <c r="D21" s="980" t="s">
        <v>457</v>
      </c>
      <c r="E21" s="981" t="s">
        <v>476</v>
      </c>
      <c r="F21" s="982"/>
      <c r="G21" s="984" t="s">
        <v>704</v>
      </c>
      <c r="H21" s="983" t="s">
        <v>34</v>
      </c>
      <c r="I21" s="36" t="s">
        <v>436</v>
      </c>
      <c r="J21" s="37" t="s">
        <v>656</v>
      </c>
      <c r="K21" s="38" t="s">
        <v>459</v>
      </c>
      <c r="L21" s="39" t="s">
        <v>653</v>
      </c>
      <c r="M21" s="40" t="s">
        <v>453</v>
      </c>
      <c r="N21" s="41" t="s">
        <v>654</v>
      </c>
      <c r="O21" s="64"/>
      <c r="P21" s="65"/>
      <c r="Q21" s="66"/>
      <c r="R21" s="66"/>
      <c r="S21" s="67"/>
      <c r="T21" s="68"/>
    </row>
    <row r="22" spans="1:20" ht="15.75">
      <c r="A22" s="21">
        <v>46130</v>
      </c>
      <c r="B22" s="979" t="s">
        <v>466</v>
      </c>
      <c r="C22" s="980" t="s">
        <v>475</v>
      </c>
      <c r="D22" s="980" t="s">
        <v>516</v>
      </c>
      <c r="E22" s="981" t="s">
        <v>457</v>
      </c>
      <c r="F22" s="982" t="s">
        <v>34</v>
      </c>
      <c r="G22" s="984"/>
      <c r="H22" s="983" t="s">
        <v>73</v>
      </c>
      <c r="I22" s="36" t="s">
        <v>475</v>
      </c>
      <c r="J22" s="37" t="s">
        <v>654</v>
      </c>
      <c r="K22" s="38" t="s">
        <v>516</v>
      </c>
      <c r="L22" s="39" t="s">
        <v>656</v>
      </c>
      <c r="M22" s="40" t="s">
        <v>34</v>
      </c>
      <c r="N22" s="41" t="s">
        <v>653</v>
      </c>
    </row>
    <row r="23" spans="1:20" ht="15.75">
      <c r="A23" s="21">
        <v>46131</v>
      </c>
      <c r="B23" s="979" t="s">
        <v>466</v>
      </c>
      <c r="C23" s="980" t="s">
        <v>475</v>
      </c>
      <c r="D23" s="980" t="s">
        <v>476</v>
      </c>
      <c r="E23" s="981" t="s">
        <v>457</v>
      </c>
      <c r="F23" s="982" t="s">
        <v>73</v>
      </c>
      <c r="G23" s="984" t="s">
        <v>704</v>
      </c>
      <c r="H23" s="978" t="s">
        <v>449</v>
      </c>
      <c r="I23" s="38" t="s">
        <v>466</v>
      </c>
      <c r="J23" s="37" t="s">
        <v>653</v>
      </c>
      <c r="K23" s="38" t="s">
        <v>457</v>
      </c>
      <c r="L23" s="39" t="s">
        <v>654</v>
      </c>
      <c r="M23" s="40" t="s">
        <v>34</v>
      </c>
      <c r="N23" s="41" t="s">
        <v>656</v>
      </c>
    </row>
    <row r="24" spans="1:20" ht="15.75">
      <c r="A24" s="21">
        <v>46132</v>
      </c>
      <c r="B24" s="979" t="s">
        <v>466</v>
      </c>
      <c r="C24" s="986" t="s">
        <v>475</v>
      </c>
      <c r="D24" s="980" t="s">
        <v>476</v>
      </c>
      <c r="E24" s="981" t="s">
        <v>678</v>
      </c>
      <c r="F24" s="982"/>
      <c r="G24" s="984" t="s">
        <v>704</v>
      </c>
      <c r="H24" s="983" t="s">
        <v>34</v>
      </c>
      <c r="I24" s="38" t="s">
        <v>34</v>
      </c>
      <c r="J24" s="37" t="s">
        <v>656</v>
      </c>
      <c r="K24" s="38" t="s">
        <v>458</v>
      </c>
      <c r="L24" s="39" t="s">
        <v>653</v>
      </c>
      <c r="M24" s="40" t="s">
        <v>516</v>
      </c>
      <c r="N24" s="41" t="s">
        <v>654</v>
      </c>
    </row>
    <row r="25" spans="1:20" ht="15.75">
      <c r="A25" s="21">
        <v>46133</v>
      </c>
      <c r="B25" s="979" t="s">
        <v>34</v>
      </c>
      <c r="C25" s="986" t="s">
        <v>475</v>
      </c>
      <c r="D25" s="980" t="s">
        <v>516</v>
      </c>
      <c r="E25" s="981" t="s">
        <v>678</v>
      </c>
      <c r="F25" s="982"/>
      <c r="G25" s="984" t="s">
        <v>704</v>
      </c>
      <c r="H25" s="983" t="s">
        <v>73</v>
      </c>
      <c r="I25" s="36" t="s">
        <v>475</v>
      </c>
      <c r="J25" s="37" t="s">
        <v>654</v>
      </c>
      <c r="K25" s="38" t="s">
        <v>516</v>
      </c>
      <c r="L25" s="39" t="s">
        <v>656</v>
      </c>
      <c r="M25" s="40" t="s">
        <v>678</v>
      </c>
      <c r="N25" s="41" t="s">
        <v>653</v>
      </c>
    </row>
    <row r="26" spans="1:20" ht="15.75">
      <c r="A26" s="21">
        <v>46134</v>
      </c>
      <c r="B26" s="979" t="s">
        <v>466</v>
      </c>
      <c r="C26" s="986" t="s">
        <v>475</v>
      </c>
      <c r="D26" s="980" t="s">
        <v>476</v>
      </c>
      <c r="E26" s="985" t="s">
        <v>459</v>
      </c>
      <c r="F26" s="982" t="s">
        <v>678</v>
      </c>
      <c r="G26" s="984" t="s">
        <v>704</v>
      </c>
      <c r="H26" s="978" t="s">
        <v>449</v>
      </c>
      <c r="I26" s="36" t="s">
        <v>678</v>
      </c>
      <c r="J26" s="37" t="s">
        <v>653</v>
      </c>
      <c r="K26" s="38" t="s">
        <v>459</v>
      </c>
      <c r="L26" s="39" t="s">
        <v>654</v>
      </c>
      <c r="M26" s="40" t="s">
        <v>34</v>
      </c>
      <c r="N26" s="41" t="s">
        <v>656</v>
      </c>
    </row>
    <row r="27" spans="1:20" ht="15.75">
      <c r="A27" s="21">
        <v>46135</v>
      </c>
      <c r="B27" s="979" t="s">
        <v>466</v>
      </c>
      <c r="C27" s="980" t="s">
        <v>73</v>
      </c>
      <c r="D27" s="980" t="s">
        <v>476</v>
      </c>
      <c r="E27" s="981" t="s">
        <v>457</v>
      </c>
      <c r="F27" s="982"/>
      <c r="G27" s="984" t="s">
        <v>704</v>
      </c>
      <c r="H27" s="983" t="s">
        <v>34</v>
      </c>
      <c r="I27" s="38"/>
      <c r="J27" s="37" t="s">
        <v>656</v>
      </c>
      <c r="K27" s="38" t="s">
        <v>458</v>
      </c>
      <c r="L27" s="39" t="s">
        <v>653</v>
      </c>
      <c r="M27" s="40" t="s">
        <v>446</v>
      </c>
      <c r="N27" s="41" t="s">
        <v>654</v>
      </c>
    </row>
    <row r="28" spans="1:20" ht="15.75">
      <c r="A28" s="21">
        <v>46136</v>
      </c>
      <c r="B28" s="979" t="s">
        <v>459</v>
      </c>
      <c r="C28" s="980" t="s">
        <v>678</v>
      </c>
      <c r="D28" s="980" t="s">
        <v>457</v>
      </c>
      <c r="E28" s="981" t="s">
        <v>476</v>
      </c>
      <c r="F28" s="982"/>
      <c r="G28" s="984" t="s">
        <v>704</v>
      </c>
      <c r="H28" s="983" t="s">
        <v>73</v>
      </c>
      <c r="I28" s="38"/>
      <c r="J28" s="37" t="s">
        <v>654</v>
      </c>
      <c r="K28" s="38" t="s">
        <v>678</v>
      </c>
      <c r="L28" s="39" t="s">
        <v>656</v>
      </c>
      <c r="M28" s="40" t="s">
        <v>459</v>
      </c>
      <c r="N28" s="41" t="s">
        <v>653</v>
      </c>
    </row>
    <row r="29" spans="1:20" ht="15.75">
      <c r="A29" s="21">
        <v>46137</v>
      </c>
      <c r="B29" s="979" t="s">
        <v>466</v>
      </c>
      <c r="C29" s="980" t="s">
        <v>475</v>
      </c>
      <c r="D29" s="980" t="s">
        <v>516</v>
      </c>
      <c r="E29" s="981" t="s">
        <v>457</v>
      </c>
      <c r="F29" s="982"/>
      <c r="G29" s="984"/>
      <c r="H29" s="978" t="s">
        <v>449</v>
      </c>
      <c r="I29" s="36" t="s">
        <v>475</v>
      </c>
      <c r="J29" s="37" t="s">
        <v>653</v>
      </c>
      <c r="K29" s="38" t="s">
        <v>516</v>
      </c>
      <c r="L29" s="39" t="s">
        <v>654</v>
      </c>
      <c r="M29" s="40" t="s">
        <v>453</v>
      </c>
      <c r="N29" s="41" t="s">
        <v>656</v>
      </c>
    </row>
    <row r="30" spans="1:20" ht="15.75">
      <c r="A30" s="21">
        <v>46138</v>
      </c>
      <c r="B30" s="979" t="s">
        <v>466</v>
      </c>
      <c r="C30" s="980" t="s">
        <v>475</v>
      </c>
      <c r="D30" s="980" t="s">
        <v>476</v>
      </c>
      <c r="E30" s="981" t="s">
        <v>457</v>
      </c>
      <c r="F30" s="982" t="s">
        <v>73</v>
      </c>
      <c r="G30" s="984" t="s">
        <v>704</v>
      </c>
      <c r="H30" s="983" t="s">
        <v>34</v>
      </c>
      <c r="I30" s="36" t="s">
        <v>73</v>
      </c>
      <c r="J30" s="37" t="s">
        <v>656</v>
      </c>
      <c r="K30" s="38" t="s">
        <v>457</v>
      </c>
      <c r="L30" s="39" t="s">
        <v>653</v>
      </c>
      <c r="M30" s="40" t="s">
        <v>516</v>
      </c>
      <c r="N30" s="41" t="s">
        <v>654</v>
      </c>
    </row>
    <row r="31" spans="1:20" ht="15.75">
      <c r="A31" s="21">
        <v>46139</v>
      </c>
      <c r="B31" s="979" t="s">
        <v>466</v>
      </c>
      <c r="C31" s="980" t="s">
        <v>475</v>
      </c>
      <c r="D31" s="980" t="s">
        <v>476</v>
      </c>
      <c r="E31" s="981" t="s">
        <v>678</v>
      </c>
      <c r="F31" s="982"/>
      <c r="G31" s="984" t="s">
        <v>704</v>
      </c>
      <c r="H31" s="983" t="s">
        <v>73</v>
      </c>
      <c r="I31" s="38"/>
      <c r="J31" s="37" t="s">
        <v>654</v>
      </c>
      <c r="K31" s="38" t="s">
        <v>458</v>
      </c>
      <c r="L31" s="39" t="s">
        <v>656</v>
      </c>
      <c r="M31" s="40" t="s">
        <v>436</v>
      </c>
      <c r="N31" s="41" t="s">
        <v>653</v>
      </c>
    </row>
    <row r="32" spans="1:20" ht="15.75">
      <c r="A32" s="21">
        <v>46140</v>
      </c>
      <c r="B32" s="979" t="s">
        <v>572</v>
      </c>
      <c r="C32" s="980" t="s">
        <v>475</v>
      </c>
      <c r="D32" s="980" t="s">
        <v>516</v>
      </c>
      <c r="E32" s="981" t="s">
        <v>457</v>
      </c>
      <c r="F32" s="982"/>
      <c r="G32" s="984" t="s">
        <v>704</v>
      </c>
      <c r="H32" s="978" t="s">
        <v>449</v>
      </c>
      <c r="I32" s="38" t="s">
        <v>475</v>
      </c>
      <c r="J32" s="37" t="s">
        <v>653</v>
      </c>
      <c r="K32" s="38" t="s">
        <v>516</v>
      </c>
      <c r="L32" s="39" t="s">
        <v>654</v>
      </c>
      <c r="M32" s="972" t="s">
        <v>572</v>
      </c>
      <c r="N32" s="41" t="s">
        <v>656</v>
      </c>
    </row>
    <row r="33" spans="1:14" ht="15.75">
      <c r="A33" s="21">
        <v>46141</v>
      </c>
      <c r="B33" s="979" t="s">
        <v>466</v>
      </c>
      <c r="C33" s="980" t="s">
        <v>475</v>
      </c>
      <c r="D33" s="980" t="s">
        <v>476</v>
      </c>
      <c r="E33" s="981" t="s">
        <v>459</v>
      </c>
      <c r="F33" s="982" t="s">
        <v>678</v>
      </c>
      <c r="G33" s="984" t="s">
        <v>704</v>
      </c>
      <c r="H33" s="983" t="s">
        <v>34</v>
      </c>
      <c r="I33" s="36" t="s">
        <v>453</v>
      </c>
      <c r="J33" s="37" t="s">
        <v>656</v>
      </c>
      <c r="K33" s="38" t="s">
        <v>459</v>
      </c>
      <c r="L33" s="39" t="s">
        <v>653</v>
      </c>
      <c r="M33" s="40" t="s">
        <v>678</v>
      </c>
      <c r="N33" s="41" t="s">
        <v>654</v>
      </c>
    </row>
    <row r="34" spans="1:14" ht="15.75">
      <c r="A34" s="21">
        <v>46142</v>
      </c>
      <c r="B34" s="979" t="s">
        <v>466</v>
      </c>
      <c r="C34" s="980" t="s">
        <v>34</v>
      </c>
      <c r="D34" s="980" t="s">
        <v>476</v>
      </c>
      <c r="E34" s="985" t="s">
        <v>457</v>
      </c>
      <c r="F34" s="982"/>
      <c r="G34" s="984" t="s">
        <v>704</v>
      </c>
      <c r="H34" s="983" t="s">
        <v>73</v>
      </c>
      <c r="I34" s="36"/>
      <c r="J34" s="37" t="s">
        <v>654</v>
      </c>
      <c r="K34" s="38" t="s">
        <v>458</v>
      </c>
      <c r="L34" s="39" t="s">
        <v>656</v>
      </c>
      <c r="M34" s="40" t="s">
        <v>449</v>
      </c>
      <c r="N34" s="41" t="s">
        <v>653</v>
      </c>
    </row>
    <row r="35" spans="1:14" ht="15.75">
      <c r="A35" s="21"/>
      <c r="B35" s="987"/>
      <c r="C35" s="988"/>
      <c r="D35" s="988"/>
      <c r="E35" s="989"/>
      <c r="F35" s="990"/>
      <c r="G35" s="991"/>
      <c r="H35" s="992"/>
      <c r="I35" s="347"/>
      <c r="J35" s="227" t="s">
        <v>653</v>
      </c>
      <c r="K35" s="347"/>
      <c r="L35" s="973" t="s">
        <v>654</v>
      </c>
      <c r="M35" s="348"/>
      <c r="N35" s="349" t="s">
        <v>656</v>
      </c>
    </row>
  </sheetData>
  <mergeCells count="8">
    <mergeCell ref="A3:A4"/>
    <mergeCell ref="A1:N2"/>
    <mergeCell ref="O1:T2"/>
    <mergeCell ref="B3:E3"/>
    <mergeCell ref="F3:G3"/>
    <mergeCell ref="I3:N3"/>
    <mergeCell ref="I4:J4"/>
    <mergeCell ref="K4:N4"/>
  </mergeCells>
  <pageMargins left="0" right="0" top="0" bottom="0" header="0" footer="0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402E-FCA9-4AB9-8B13-A4DD07DC76DB}">
  <dimension ref="A1:W47"/>
  <sheetViews>
    <sheetView workbookViewId="0">
      <selection activeCell="F12" sqref="F12"/>
    </sheetView>
  </sheetViews>
  <sheetFormatPr baseColWidth="10" defaultRowHeight="15"/>
  <cols>
    <col min="1" max="1" width="19.140625" customWidth="1"/>
    <col min="8" max="8" width="11.42578125" customWidth="1"/>
    <col min="9" max="9" width="10.5703125" customWidth="1"/>
    <col min="10" max="10" width="3.42578125" customWidth="1"/>
    <col min="11" max="11" width="11" customWidth="1"/>
    <col min="12" max="12" width="3.140625" customWidth="1"/>
    <col min="13" max="13" width="10.5703125" customWidth="1"/>
    <col min="14" max="14" width="3.7109375" customWidth="1"/>
    <col min="15" max="15" width="37.85546875" customWidth="1"/>
    <col min="18" max="18" width="13.42578125" customWidth="1"/>
    <col min="19" max="19" width="10" customWidth="1"/>
    <col min="20" max="20" width="12.5703125" customWidth="1"/>
  </cols>
  <sheetData>
    <row r="1" spans="1:23">
      <c r="A1" s="1394" t="s">
        <v>707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3" ht="15.75" thickBot="1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3" ht="19.5" thickBot="1">
      <c r="A3" s="1355" t="s">
        <v>2</v>
      </c>
      <c r="B3" s="1440" t="s">
        <v>543</v>
      </c>
      <c r="C3" s="1441"/>
      <c r="D3" s="1441"/>
      <c r="E3" s="1441"/>
      <c r="F3" s="1441"/>
      <c r="G3" s="1442"/>
      <c r="H3" s="1023" t="s">
        <v>624</v>
      </c>
      <c r="I3" s="1432" t="s">
        <v>544</v>
      </c>
      <c r="J3" s="1433"/>
      <c r="K3" s="1433"/>
      <c r="L3" s="1433"/>
      <c r="M3" s="1433"/>
      <c r="N3" s="1434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10" t="s">
        <v>479</v>
      </c>
    </row>
    <row r="4" spans="1:23" ht="16.5" thickBot="1">
      <c r="A4" s="1357"/>
      <c r="B4" s="1007" t="s">
        <v>8</v>
      </c>
      <c r="C4" s="1008" t="s">
        <v>9</v>
      </c>
      <c r="D4" s="1008" t="s">
        <v>10</v>
      </c>
      <c r="E4" s="1009" t="s">
        <v>7</v>
      </c>
      <c r="F4" s="1010" t="s">
        <v>434</v>
      </c>
      <c r="G4" s="1011" t="s">
        <v>625</v>
      </c>
      <c r="H4" s="1024" t="s">
        <v>677</v>
      </c>
      <c r="I4" s="1435" t="s">
        <v>626</v>
      </c>
      <c r="J4" s="1436"/>
      <c r="K4" s="1437" t="s">
        <v>546</v>
      </c>
      <c r="L4" s="1438"/>
      <c r="M4" s="1438"/>
      <c r="N4" s="1439"/>
      <c r="O4" s="17" t="s">
        <v>208</v>
      </c>
      <c r="P4" s="18">
        <f>COUNTIF(B5:G35,"NASSIMA")</f>
        <v>7</v>
      </c>
      <c r="Q4" s="18">
        <f>COUNTIF(K5:M35,"NASSIMA")</f>
        <v>1</v>
      </c>
      <c r="R4" s="18">
        <v>0</v>
      </c>
      <c r="S4" s="19">
        <f>COUNTIF(H5:H35,"NASSIMA")</f>
        <v>10</v>
      </c>
      <c r="T4" s="20"/>
      <c r="U4" s="1401"/>
      <c r="V4" s="1147"/>
      <c r="W4" s="1147"/>
    </row>
    <row r="5" spans="1:23" ht="16.5" thickBot="1">
      <c r="A5" s="1005">
        <v>46143</v>
      </c>
      <c r="B5" s="996" t="s">
        <v>459</v>
      </c>
      <c r="C5" s="997" t="s">
        <v>73</v>
      </c>
      <c r="D5" s="997" t="s">
        <v>457</v>
      </c>
      <c r="E5" s="998" t="s">
        <v>476</v>
      </c>
      <c r="F5" s="999"/>
      <c r="G5" s="999" t="s">
        <v>704</v>
      </c>
      <c r="H5" s="1012" t="s">
        <v>449</v>
      </c>
      <c r="I5" s="1012"/>
      <c r="J5" s="1013" t="s">
        <v>653</v>
      </c>
      <c r="K5" s="1012" t="s">
        <v>34</v>
      </c>
      <c r="L5" s="1014" t="s">
        <v>654</v>
      </c>
      <c r="M5" s="1015" t="s">
        <v>459</v>
      </c>
      <c r="N5" s="1016" t="s">
        <v>613</v>
      </c>
      <c r="O5" s="31" t="s">
        <v>700</v>
      </c>
      <c r="P5" s="18">
        <f>COUNTIF(B5:G35,"YASMINE")</f>
        <v>4</v>
      </c>
      <c r="Q5" s="18">
        <f>COUNTIF(J5:L35,"YASMINE")</f>
        <v>1</v>
      </c>
      <c r="R5" s="18">
        <f>COUNTIF(I5:I35,"YASMINE")</f>
        <v>0</v>
      </c>
      <c r="S5" s="19">
        <f>COUNTIF(H6:H36,"YASMINE")</f>
        <v>11</v>
      </c>
      <c r="T5" s="32"/>
      <c r="U5" s="1401"/>
      <c r="V5" s="1147"/>
      <c r="W5" s="1147"/>
    </row>
    <row r="6" spans="1:23" ht="16.5" thickBot="1">
      <c r="A6" s="1005">
        <v>46144</v>
      </c>
      <c r="B6" s="996" t="s">
        <v>466</v>
      </c>
      <c r="C6" s="1000" t="s">
        <v>475</v>
      </c>
      <c r="D6" s="1000" t="s">
        <v>516</v>
      </c>
      <c r="E6" s="1001" t="s">
        <v>457</v>
      </c>
      <c r="F6" s="1002"/>
      <c r="G6" s="1002"/>
      <c r="H6" s="1017" t="s">
        <v>34</v>
      </c>
      <c r="I6" s="1017" t="s">
        <v>475</v>
      </c>
      <c r="J6" s="1018" t="s">
        <v>656</v>
      </c>
      <c r="K6" s="1017" t="s">
        <v>516</v>
      </c>
      <c r="L6" s="1019" t="s">
        <v>653</v>
      </c>
      <c r="M6" s="1020"/>
      <c r="N6" s="1021" t="s">
        <v>612</v>
      </c>
      <c r="O6" s="31" t="s">
        <v>685</v>
      </c>
      <c r="P6" s="18">
        <f>COUNTIF(B5:G35,"HAYAT")</f>
        <v>1</v>
      </c>
      <c r="Q6" s="18">
        <f>COUNTIF(K5:M35,"HAYAT")</f>
        <v>3</v>
      </c>
      <c r="R6" s="18">
        <f>COUNTIF(I5:I35,"HAYAT")</f>
        <v>0</v>
      </c>
      <c r="S6" s="19">
        <f>COUNTIF(H5:H35,"HAYAT")</f>
        <v>11</v>
      </c>
      <c r="T6" s="32"/>
      <c r="U6" s="1401"/>
      <c r="V6" s="1147"/>
      <c r="W6" s="1147"/>
    </row>
    <row r="7" spans="1:23" ht="16.5" thickBot="1">
      <c r="A7" s="1005">
        <v>46145</v>
      </c>
      <c r="B7" s="953" t="s">
        <v>466</v>
      </c>
      <c r="C7" s="49" t="s">
        <v>475</v>
      </c>
      <c r="D7" s="49" t="s">
        <v>476</v>
      </c>
      <c r="E7" s="50" t="s">
        <v>457</v>
      </c>
      <c r="F7" s="56" t="s">
        <v>34</v>
      </c>
      <c r="G7" s="56" t="s">
        <v>704</v>
      </c>
      <c r="H7" s="53" t="s">
        <v>73</v>
      </c>
      <c r="I7" s="53"/>
      <c r="J7" s="955" t="s">
        <v>654</v>
      </c>
      <c r="K7" s="53" t="s">
        <v>457</v>
      </c>
      <c r="L7" s="956" t="s">
        <v>656</v>
      </c>
      <c r="M7" s="54" t="s">
        <v>34</v>
      </c>
      <c r="N7" s="110" t="s">
        <v>653</v>
      </c>
      <c r="O7" s="43" t="s">
        <v>701</v>
      </c>
      <c r="P7" s="18">
        <f>COUNTIF(B5:G35,"SOUMIA")</f>
        <v>8</v>
      </c>
      <c r="Q7" s="18">
        <f>COUNTIF(K5:M35,"SOUMIA")</f>
        <v>7</v>
      </c>
      <c r="R7" s="18">
        <f>COUNTIF(I5:I35,"SOUMIA")</f>
        <v>1</v>
      </c>
      <c r="S7" s="19">
        <f>COUNTIF(H5:H35,"SOUMIA")</f>
        <v>0</v>
      </c>
      <c r="T7" s="44"/>
      <c r="U7" s="1401"/>
      <c r="V7" s="1147"/>
      <c r="W7" s="1147"/>
    </row>
    <row r="8" spans="1:23" ht="16.5" thickBot="1">
      <c r="A8" s="1005">
        <v>46146</v>
      </c>
      <c r="B8" s="953" t="s">
        <v>466</v>
      </c>
      <c r="C8" s="49" t="s">
        <v>475</v>
      </c>
      <c r="D8" s="49" t="s">
        <v>476</v>
      </c>
      <c r="E8" s="50" t="s">
        <v>678</v>
      </c>
      <c r="F8" s="56"/>
      <c r="G8" s="56" t="s">
        <v>704</v>
      </c>
      <c r="H8" s="473" t="s">
        <v>449</v>
      </c>
      <c r="I8" s="53" t="s">
        <v>678</v>
      </c>
      <c r="J8" s="955" t="s">
        <v>653</v>
      </c>
      <c r="K8" s="53" t="s">
        <v>458</v>
      </c>
      <c r="L8" s="956" t="s">
        <v>654</v>
      </c>
      <c r="M8" s="54" t="s">
        <v>446</v>
      </c>
      <c r="N8" s="110" t="s">
        <v>656</v>
      </c>
      <c r="O8" s="45" t="s">
        <v>686</v>
      </c>
      <c r="P8" s="18">
        <f>COUNTIF(B5:G35,"SARAH")</f>
        <v>22</v>
      </c>
      <c r="Q8" s="18">
        <f>COUNTIF(K5:M35,"SARAH")</f>
        <v>7</v>
      </c>
      <c r="R8" s="18">
        <f>COUNTIF(I5:I35,"SARAH")</f>
        <v>0</v>
      </c>
      <c r="S8" s="19">
        <f>COUNTIF(H5:H35,"SARAH")</f>
        <v>0</v>
      </c>
      <c r="T8" s="32"/>
      <c r="U8" s="1401"/>
      <c r="V8" s="1147"/>
      <c r="W8" s="1147"/>
    </row>
    <row r="9" spans="1:23" ht="16.5" thickBot="1">
      <c r="A9" s="1005">
        <v>46147</v>
      </c>
      <c r="B9" s="953" t="s">
        <v>572</v>
      </c>
      <c r="C9" s="49" t="s">
        <v>475</v>
      </c>
      <c r="D9" s="49" t="s">
        <v>516</v>
      </c>
      <c r="E9" s="50" t="s">
        <v>457</v>
      </c>
      <c r="F9" s="56"/>
      <c r="G9" s="56" t="s">
        <v>704</v>
      </c>
      <c r="H9" s="52" t="s">
        <v>34</v>
      </c>
      <c r="I9" s="52" t="s">
        <v>475</v>
      </c>
      <c r="J9" s="955" t="s">
        <v>656</v>
      </c>
      <c r="K9" s="52" t="s">
        <v>572</v>
      </c>
      <c r="L9" s="956" t="s">
        <v>653</v>
      </c>
      <c r="M9" s="54" t="s">
        <v>516</v>
      </c>
      <c r="N9" s="110" t="s">
        <v>654</v>
      </c>
      <c r="O9" s="46" t="s">
        <v>688</v>
      </c>
      <c r="P9" s="18">
        <f>COUNTIF(B5:G35,"DJAMEL")</f>
        <v>0</v>
      </c>
      <c r="Q9" s="18">
        <f>COUNTIF(K5:M35,"DJAMEL")</f>
        <v>7</v>
      </c>
      <c r="R9" s="18">
        <f>COUNTIF(I5:I35,"DJAMEL")</f>
        <v>0</v>
      </c>
      <c r="S9" s="19">
        <f>COUNTIF(H5:H35,"DJAMEL")</f>
        <v>0</v>
      </c>
      <c r="T9" s="47"/>
      <c r="U9" s="1401"/>
      <c r="V9" s="1147"/>
      <c r="W9" s="1147"/>
    </row>
    <row r="10" spans="1:23" ht="16.5" thickBot="1">
      <c r="A10" s="1005">
        <v>46148</v>
      </c>
      <c r="B10" s="953" t="s">
        <v>466</v>
      </c>
      <c r="C10" s="49" t="s">
        <v>475</v>
      </c>
      <c r="D10" s="49" t="s">
        <v>476</v>
      </c>
      <c r="E10" s="50" t="s">
        <v>459</v>
      </c>
      <c r="F10" s="56"/>
      <c r="G10" s="56" t="s">
        <v>704</v>
      </c>
      <c r="H10" s="53" t="s">
        <v>73</v>
      </c>
      <c r="I10" s="52"/>
      <c r="J10" s="955" t="s">
        <v>654</v>
      </c>
      <c r="K10" s="52" t="s">
        <v>459</v>
      </c>
      <c r="L10" s="956" t="s">
        <v>656</v>
      </c>
      <c r="M10" s="54" t="s">
        <v>449</v>
      </c>
      <c r="N10" s="110" t="s">
        <v>653</v>
      </c>
      <c r="O10" s="48" t="s">
        <v>691</v>
      </c>
      <c r="P10" s="18">
        <f>COUNTIF(B5:G35,"MOHAMED")</f>
        <v>18</v>
      </c>
      <c r="Q10" s="18">
        <f>COUNTIF(K5:M35,"MOHAMED")</f>
        <v>0</v>
      </c>
      <c r="R10" s="18">
        <f>COUNTIF(I5:I35,"MOHAMED")</f>
        <v>0</v>
      </c>
      <c r="S10" s="19">
        <f>COUNTIF(H5:H35,"MOHAMED")</f>
        <v>0</v>
      </c>
      <c r="T10" s="32"/>
      <c r="U10" s="1401"/>
      <c r="V10" s="1147"/>
      <c r="W10" s="1147"/>
    </row>
    <row r="11" spans="1:23" ht="16.5" thickBot="1">
      <c r="A11" s="1005">
        <v>46149</v>
      </c>
      <c r="B11" s="953" t="s">
        <v>466</v>
      </c>
      <c r="C11" s="49" t="s">
        <v>73</v>
      </c>
      <c r="D11" s="49" t="s">
        <v>476</v>
      </c>
      <c r="E11" s="50" t="s">
        <v>457</v>
      </c>
      <c r="F11" s="56" t="s">
        <v>678</v>
      </c>
      <c r="G11" s="56" t="s">
        <v>704</v>
      </c>
      <c r="H11" s="473" t="s">
        <v>449</v>
      </c>
      <c r="I11" s="53"/>
      <c r="J11" s="955" t="s">
        <v>654</v>
      </c>
      <c r="K11" s="53" t="s">
        <v>458</v>
      </c>
      <c r="L11" s="956" t="s">
        <v>653</v>
      </c>
      <c r="M11" s="54" t="s">
        <v>678</v>
      </c>
      <c r="N11" s="110" t="s">
        <v>656</v>
      </c>
      <c r="O11" s="48" t="s">
        <v>693</v>
      </c>
      <c r="P11" s="18">
        <f>COUNTIF(B5:G35,"HICHEM")</f>
        <v>18</v>
      </c>
      <c r="Q11" s="18">
        <f>COUNTIF(K5:M35,"HICHEM")</f>
        <v>0</v>
      </c>
      <c r="R11" s="18">
        <f>COUNTIF(I5:I35,"HICHEM")</f>
        <v>0</v>
      </c>
      <c r="S11" s="19">
        <f>COUNTIF(H5:H35,"HICHEM")</f>
        <v>0</v>
      </c>
      <c r="T11" s="32"/>
      <c r="U11" s="1401"/>
      <c r="V11" s="1147"/>
      <c r="W11" s="1147"/>
    </row>
    <row r="12" spans="1:23" ht="16.5" thickBot="1">
      <c r="A12" s="1005">
        <v>46150</v>
      </c>
      <c r="B12" s="996" t="s">
        <v>459</v>
      </c>
      <c r="C12" s="1000" t="s">
        <v>436</v>
      </c>
      <c r="D12" s="1000" t="s">
        <v>457</v>
      </c>
      <c r="E12" s="1001" t="s">
        <v>476</v>
      </c>
      <c r="F12" s="1002" t="s">
        <v>708</v>
      </c>
      <c r="G12" s="1002" t="s">
        <v>704</v>
      </c>
      <c r="H12" s="1017" t="s">
        <v>34</v>
      </c>
      <c r="I12" s="1022" t="s">
        <v>708</v>
      </c>
      <c r="J12" s="1018" t="s">
        <v>656</v>
      </c>
      <c r="K12" s="1022" t="s">
        <v>436</v>
      </c>
      <c r="L12" s="1019" t="s">
        <v>653</v>
      </c>
      <c r="M12" s="1020" t="s">
        <v>459</v>
      </c>
      <c r="N12" s="1021" t="s">
        <v>654</v>
      </c>
      <c r="O12" s="48" t="s">
        <v>694</v>
      </c>
      <c r="P12" s="18">
        <f>COUNTIF(B5:G35,"RACHID")</f>
        <v>19</v>
      </c>
      <c r="Q12" s="18">
        <f>COUNTIF(K5:M35,"RACHID")</f>
        <v>0</v>
      </c>
      <c r="R12" s="18">
        <f>COUNTIF(I5:I35,"RACHID")</f>
        <v>8</v>
      </c>
      <c r="S12" s="19">
        <f>COUNTIF(H5:H35,"RACHID")</f>
        <v>0</v>
      </c>
      <c r="T12" s="32"/>
      <c r="U12" s="1401"/>
      <c r="V12" s="1147"/>
      <c r="W12" s="1147"/>
    </row>
    <row r="13" spans="1:23" ht="16.5" thickBot="1">
      <c r="A13" s="1005">
        <v>46151</v>
      </c>
      <c r="B13" s="996" t="s">
        <v>466</v>
      </c>
      <c r="C13" s="1000" t="s">
        <v>475</v>
      </c>
      <c r="D13" s="1000" t="s">
        <v>516</v>
      </c>
      <c r="E13" s="1001" t="s">
        <v>457</v>
      </c>
      <c r="F13" s="1002"/>
      <c r="G13" s="1002"/>
      <c r="H13" s="1022" t="s">
        <v>73</v>
      </c>
      <c r="I13" s="1017" t="s">
        <v>475</v>
      </c>
      <c r="J13" s="1018" t="s">
        <v>654</v>
      </c>
      <c r="K13" s="1017" t="s">
        <v>516</v>
      </c>
      <c r="L13" s="1019" t="s">
        <v>656</v>
      </c>
      <c r="M13" s="1020" t="s">
        <v>446</v>
      </c>
      <c r="N13" s="1021" t="s">
        <v>653</v>
      </c>
      <c r="O13" s="48" t="s">
        <v>558</v>
      </c>
      <c r="P13" s="18">
        <f>COUNTIF(B5:G35,"HOCINE")</f>
        <v>10</v>
      </c>
      <c r="Q13" s="18">
        <f>COUNTIF(K5:M35,"HOCINE")</f>
        <v>10</v>
      </c>
      <c r="R13" s="18">
        <f>COUNTIF(I5:I35,"HOCINE")</f>
        <v>0</v>
      </c>
      <c r="S13" s="19">
        <f>COUNTIF(H5:H35,"HOCINE")</f>
        <v>0</v>
      </c>
      <c r="T13" s="32"/>
      <c r="U13" s="1401"/>
      <c r="V13" s="1147"/>
      <c r="W13" s="1147"/>
    </row>
    <row r="14" spans="1:23" ht="16.5" thickBot="1">
      <c r="A14" s="1005">
        <v>46152</v>
      </c>
      <c r="B14" s="953" t="s">
        <v>466</v>
      </c>
      <c r="C14" s="49" t="s">
        <v>475</v>
      </c>
      <c r="D14" s="49" t="s">
        <v>476</v>
      </c>
      <c r="E14" s="50" t="s">
        <v>457</v>
      </c>
      <c r="F14" s="56" t="s">
        <v>73</v>
      </c>
      <c r="G14" s="56" t="s">
        <v>704</v>
      </c>
      <c r="H14" s="473" t="s">
        <v>449</v>
      </c>
      <c r="I14" s="52"/>
      <c r="J14" s="955" t="s">
        <v>653</v>
      </c>
      <c r="K14" s="52" t="s">
        <v>457</v>
      </c>
      <c r="L14" s="956" t="s">
        <v>654</v>
      </c>
      <c r="M14" s="54" t="s">
        <v>678</v>
      </c>
      <c r="N14" s="110" t="s">
        <v>656</v>
      </c>
      <c r="O14" s="48" t="s">
        <v>559</v>
      </c>
      <c r="P14" s="18">
        <f>COUNTIF(B5:G35,"TCHIKOU")</f>
        <v>0</v>
      </c>
      <c r="Q14" s="18">
        <f>COUNTIF(K5:M35,"TCHIKOU")</f>
        <v>7</v>
      </c>
      <c r="R14" s="18">
        <f>COUNTIF(I5:I35,"TCHIKOU")</f>
        <v>0</v>
      </c>
      <c r="S14" s="19">
        <f>COUNTIF(H5:H35,"TCHIKOU")</f>
        <v>0</v>
      </c>
      <c r="T14" s="32"/>
      <c r="U14" s="1401"/>
      <c r="V14" s="1147"/>
      <c r="W14" s="1147"/>
    </row>
    <row r="15" spans="1:23" ht="16.5" thickBot="1">
      <c r="A15" s="1005">
        <v>46153</v>
      </c>
      <c r="B15" s="953" t="s">
        <v>466</v>
      </c>
      <c r="C15" s="49" t="s">
        <v>475</v>
      </c>
      <c r="D15" s="49" t="s">
        <v>476</v>
      </c>
      <c r="E15" s="50"/>
      <c r="F15" s="56" t="s">
        <v>678</v>
      </c>
      <c r="G15" s="56" t="s">
        <v>704</v>
      </c>
      <c r="H15" s="52" t="s">
        <v>34</v>
      </c>
      <c r="I15" s="53" t="s">
        <v>678</v>
      </c>
      <c r="J15" s="955" t="s">
        <v>656</v>
      </c>
      <c r="K15" s="53" t="s">
        <v>458</v>
      </c>
      <c r="L15" s="956" t="s">
        <v>653</v>
      </c>
      <c r="M15" s="54" t="s">
        <v>446</v>
      </c>
      <c r="N15" s="110" t="s">
        <v>654</v>
      </c>
      <c r="O15" s="48" t="s">
        <v>560</v>
      </c>
      <c r="P15" s="18">
        <f>COUNTIF(B5:G35,"AHMED")</f>
        <v>0</v>
      </c>
      <c r="Q15" s="18">
        <f>COUNTIF(K5:M35,"AHMED")</f>
        <v>0</v>
      </c>
      <c r="R15" s="18">
        <f>COUNTIF(I5:I35,"AHMED")</f>
        <v>0</v>
      </c>
      <c r="S15" s="19">
        <f>COUNTIF(H5:H35,"AHMED")</f>
        <v>0</v>
      </c>
      <c r="T15" s="32"/>
      <c r="U15" s="1401"/>
      <c r="V15" s="1147"/>
      <c r="W15" s="1147"/>
    </row>
    <row r="16" spans="1:23" ht="16.5" thickBot="1">
      <c r="A16" s="1005">
        <v>46154</v>
      </c>
      <c r="B16" s="953" t="s">
        <v>572</v>
      </c>
      <c r="C16" s="49" t="s">
        <v>475</v>
      </c>
      <c r="D16" s="49" t="s">
        <v>516</v>
      </c>
      <c r="E16" s="50" t="s">
        <v>457</v>
      </c>
      <c r="F16" s="56"/>
      <c r="G16" s="56" t="s">
        <v>704</v>
      </c>
      <c r="H16" s="53" t="s">
        <v>73</v>
      </c>
      <c r="I16" s="53" t="s">
        <v>475</v>
      </c>
      <c r="J16" s="955" t="s">
        <v>654</v>
      </c>
      <c r="K16" s="53" t="s">
        <v>572</v>
      </c>
      <c r="L16" s="956" t="s">
        <v>656</v>
      </c>
      <c r="M16" s="54" t="s">
        <v>516</v>
      </c>
      <c r="N16" s="110" t="s">
        <v>653</v>
      </c>
      <c r="O16" s="48" t="s">
        <v>561</v>
      </c>
      <c r="P16" s="18">
        <f>COUNTIF(B5:G35,"ABDOU")</f>
        <v>3</v>
      </c>
      <c r="Q16" s="18">
        <f>COUNTIF(K5:M35,"ABDOU")</f>
        <v>4</v>
      </c>
      <c r="R16" s="18">
        <f>COUNTIF(I5:I35,"ABDOU")</f>
        <v>0</v>
      </c>
      <c r="S16" s="19">
        <f>COUNTIF(H5:H35,"ABDOU")</f>
        <v>0</v>
      </c>
      <c r="T16" s="32"/>
      <c r="U16" s="1401"/>
      <c r="V16" s="1147"/>
      <c r="W16" s="1147"/>
    </row>
    <row r="17" spans="1:23" ht="16.5" thickBot="1">
      <c r="A17" s="1005">
        <v>46155</v>
      </c>
      <c r="B17" s="953" t="s">
        <v>466</v>
      </c>
      <c r="C17" s="49" t="s">
        <v>475</v>
      </c>
      <c r="D17" s="49" t="s">
        <v>476</v>
      </c>
      <c r="E17" s="50" t="s">
        <v>459</v>
      </c>
      <c r="F17" s="56"/>
      <c r="G17" s="56" t="s">
        <v>704</v>
      </c>
      <c r="H17" s="473" t="s">
        <v>449</v>
      </c>
      <c r="I17" s="52" t="s">
        <v>710</v>
      </c>
      <c r="J17" s="955" t="s">
        <v>653</v>
      </c>
      <c r="K17" s="52" t="s">
        <v>459</v>
      </c>
      <c r="L17" s="956" t="s">
        <v>654</v>
      </c>
      <c r="M17" s="54" t="s">
        <v>34</v>
      </c>
      <c r="N17" s="110" t="s">
        <v>656</v>
      </c>
      <c r="O17" s="48" t="s">
        <v>574</v>
      </c>
      <c r="P17" s="18">
        <f>COUNTIF(B5:G35,"AMINE")</f>
        <v>3</v>
      </c>
      <c r="Q17" s="18">
        <f>COUNTIF(K5:M35,"AMINE")</f>
        <v>3</v>
      </c>
      <c r="R17" s="18">
        <f>COUNTIF(I5:I35,"AMINE")</f>
        <v>0</v>
      </c>
      <c r="S17" s="19">
        <f>COUNTIF(H18:H48,"AMINE")</f>
        <v>0</v>
      </c>
      <c r="T17" s="32"/>
      <c r="U17" s="1401"/>
      <c r="V17" s="1147"/>
      <c r="W17" s="1147"/>
    </row>
    <row r="18" spans="1:23" ht="16.5" thickBot="1">
      <c r="A18" s="1005">
        <v>46156</v>
      </c>
      <c r="B18" s="953" t="s">
        <v>466</v>
      </c>
      <c r="C18" s="49" t="s">
        <v>73</v>
      </c>
      <c r="D18" s="49" t="s">
        <v>476</v>
      </c>
      <c r="E18" s="50" t="s">
        <v>457</v>
      </c>
      <c r="F18" s="56" t="s">
        <v>459</v>
      </c>
      <c r="G18" s="56" t="s">
        <v>704</v>
      </c>
      <c r="H18" s="52" t="s">
        <v>34</v>
      </c>
      <c r="I18" s="52" t="s">
        <v>459</v>
      </c>
      <c r="J18" s="955" t="s">
        <v>656</v>
      </c>
      <c r="K18" s="52" t="s">
        <v>458</v>
      </c>
      <c r="L18" s="956" t="s">
        <v>653</v>
      </c>
      <c r="M18" s="54" t="s">
        <v>708</v>
      </c>
      <c r="N18" s="110" t="s">
        <v>654</v>
      </c>
      <c r="O18" s="57" t="s">
        <v>674</v>
      </c>
      <c r="P18" s="18">
        <f>COUNTIF(B5:G35,"RAOUF")</f>
        <v>0</v>
      </c>
      <c r="Q18" s="18">
        <f>COUNTIF(J5:L35,"RAOUF")</f>
        <v>0</v>
      </c>
      <c r="R18" s="18">
        <f>COUNTIF(H5:H35,"RAOUF")</f>
        <v>0</v>
      </c>
      <c r="S18" s="19">
        <f>COUNTIF(H5:H35,"RAOUF")</f>
        <v>0</v>
      </c>
      <c r="T18" s="32"/>
      <c r="U18" s="1401"/>
      <c r="V18" s="1147"/>
      <c r="W18" s="1147"/>
    </row>
    <row r="19" spans="1:23" ht="16.5" thickBot="1">
      <c r="A19" s="1005">
        <v>46157</v>
      </c>
      <c r="B19" s="996" t="s">
        <v>459</v>
      </c>
      <c r="C19" s="1000" t="s">
        <v>436</v>
      </c>
      <c r="D19" s="1000" t="s">
        <v>457</v>
      </c>
      <c r="E19" s="1001" t="s">
        <v>476</v>
      </c>
      <c r="F19" s="1002" t="s">
        <v>678</v>
      </c>
      <c r="G19" s="1002" t="s">
        <v>704</v>
      </c>
      <c r="H19" s="1022" t="s">
        <v>73</v>
      </c>
      <c r="I19" s="1022" t="s">
        <v>678</v>
      </c>
      <c r="J19" s="1018" t="s">
        <v>654</v>
      </c>
      <c r="K19" s="1022" t="s">
        <v>436</v>
      </c>
      <c r="L19" s="1019" t="s">
        <v>656</v>
      </c>
      <c r="M19" s="1020" t="s">
        <v>459</v>
      </c>
      <c r="N19" s="1021" t="s">
        <v>653</v>
      </c>
      <c r="O19" s="57" t="s">
        <v>695</v>
      </c>
      <c r="P19" s="58">
        <f>COUNTIF(B5:G35,"NOUR")</f>
        <v>8</v>
      </c>
      <c r="Q19" s="58">
        <f>COUNTIF(K5:M35,"NOUR")</f>
        <v>5</v>
      </c>
      <c r="R19" s="58">
        <f>COUNTIF(I5:I35,"NOUR")</f>
        <v>3</v>
      </c>
      <c r="S19" s="19">
        <f>COUNTIF(H5:H35,"NOUR")</f>
        <v>0</v>
      </c>
      <c r="T19" s="32"/>
      <c r="U19" s="1401"/>
      <c r="V19" s="1147"/>
      <c r="W19" s="1147"/>
    </row>
    <row r="20" spans="1:23" ht="16.5" thickBot="1">
      <c r="A20" s="1005">
        <v>46158</v>
      </c>
      <c r="B20" s="996" t="s">
        <v>466</v>
      </c>
      <c r="C20" s="1000" t="s">
        <v>475</v>
      </c>
      <c r="D20" s="1000" t="s">
        <v>516</v>
      </c>
      <c r="E20" s="1003" t="s">
        <v>457</v>
      </c>
      <c r="F20" s="1002" t="s">
        <v>678</v>
      </c>
      <c r="G20" s="1002"/>
      <c r="H20" s="1012" t="s">
        <v>449</v>
      </c>
      <c r="I20" s="1022" t="s">
        <v>475</v>
      </c>
      <c r="J20" s="1018" t="s">
        <v>653</v>
      </c>
      <c r="K20" s="1022" t="s">
        <v>516</v>
      </c>
      <c r="L20" s="1019" t="s">
        <v>654</v>
      </c>
      <c r="M20" s="1020" t="s">
        <v>446</v>
      </c>
      <c r="N20" s="1021" t="s">
        <v>656</v>
      </c>
      <c r="O20" s="60" t="s">
        <v>704</v>
      </c>
      <c r="P20" s="61">
        <f>COUNTIF(F5:G35,"SABRINA")</f>
        <v>23</v>
      </c>
      <c r="Q20" s="61">
        <f>COUNTIF(K5:M35,"SABRINA")</f>
        <v>0</v>
      </c>
      <c r="R20" s="62">
        <f>COUNTIF(I5:I35,"SABRINA")</f>
        <v>0</v>
      </c>
      <c r="S20" s="19">
        <f>COUNTIF(H5:H35,"SABRINA")</f>
        <v>0</v>
      </c>
      <c r="T20" s="63"/>
      <c r="U20" s="1401"/>
      <c r="V20" s="1147"/>
      <c r="W20" s="1147"/>
    </row>
    <row r="21" spans="1:23" ht="16.5" thickBot="1">
      <c r="A21" s="1005">
        <v>46159</v>
      </c>
      <c r="B21" s="953" t="s">
        <v>466</v>
      </c>
      <c r="C21" s="49" t="s">
        <v>475</v>
      </c>
      <c r="D21" s="49" t="s">
        <v>476</v>
      </c>
      <c r="E21" s="50" t="s">
        <v>457</v>
      </c>
      <c r="F21" s="56" t="s">
        <v>73</v>
      </c>
      <c r="G21" s="56" t="s">
        <v>704</v>
      </c>
      <c r="H21" s="52" t="s">
        <v>34</v>
      </c>
      <c r="I21" s="52" t="s">
        <v>708</v>
      </c>
      <c r="J21" s="955" t="s">
        <v>656</v>
      </c>
      <c r="K21" s="52" t="s">
        <v>457</v>
      </c>
      <c r="L21" s="956" t="s">
        <v>653</v>
      </c>
      <c r="M21" s="54" t="s">
        <v>436</v>
      </c>
      <c r="N21" s="110" t="s">
        <v>654</v>
      </c>
      <c r="O21" s="995" t="s">
        <v>708</v>
      </c>
      <c r="P21" s="58">
        <f>COUNTIF(B5:G35,"ABDELLAH")</f>
        <v>2</v>
      </c>
      <c r="Q21" s="58">
        <f>COUNTIF(K5:M35,"ABDELLAH")</f>
        <v>1</v>
      </c>
      <c r="R21" s="59">
        <f>COUNTIF(I5:I35,"ABDELLAH")</f>
        <v>4</v>
      </c>
      <c r="S21" s="58">
        <f>COUNTIF(H5:H35,"ABDELLAH")</f>
        <v>0</v>
      </c>
      <c r="T21" s="68"/>
      <c r="U21" s="1401"/>
      <c r="V21" s="1147"/>
      <c r="W21" s="1147"/>
    </row>
    <row r="22" spans="1:23" ht="16.5" thickBot="1">
      <c r="A22" s="1005">
        <v>46160</v>
      </c>
      <c r="B22" s="953" t="s">
        <v>466</v>
      </c>
      <c r="C22" s="49" t="s">
        <v>475</v>
      </c>
      <c r="D22" s="49" t="s">
        <v>476</v>
      </c>
      <c r="E22" s="50" t="s">
        <v>709</v>
      </c>
      <c r="F22" s="56"/>
      <c r="G22" s="56" t="s">
        <v>704</v>
      </c>
      <c r="H22" s="53" t="s">
        <v>73</v>
      </c>
      <c r="I22" s="52"/>
      <c r="J22" s="955" t="s">
        <v>654</v>
      </c>
      <c r="K22" s="52" t="s">
        <v>458</v>
      </c>
      <c r="L22" s="956" t="s">
        <v>656</v>
      </c>
      <c r="M22" s="54" t="s">
        <v>449</v>
      </c>
      <c r="N22" s="110" t="s">
        <v>653</v>
      </c>
      <c r="O22" s="995" t="s">
        <v>712</v>
      </c>
      <c r="P22" s="58">
        <f>COUNTIF(B5:G35,"CHAHIRA")</f>
        <v>4</v>
      </c>
      <c r="Q22" s="58">
        <f>COUNTIF(K6:M36,"CHAHIRA")</f>
        <v>0</v>
      </c>
      <c r="R22" s="59">
        <f>COUNTIF(I6:I36,"CHAHIRA")</f>
        <v>0</v>
      </c>
      <c r="S22" s="58">
        <f>COUNTIF(H6:H36,"CHAHIRA")</f>
        <v>0</v>
      </c>
      <c r="T22" s="68"/>
    </row>
    <row r="23" spans="1:23" ht="16.5" thickBot="1">
      <c r="A23" s="1005">
        <v>46161</v>
      </c>
      <c r="B23" s="953" t="s">
        <v>572</v>
      </c>
      <c r="C23" s="49" t="s">
        <v>475</v>
      </c>
      <c r="D23" s="49" t="s">
        <v>516</v>
      </c>
      <c r="E23" s="50" t="s">
        <v>457</v>
      </c>
      <c r="F23" s="56"/>
      <c r="G23" s="56" t="s">
        <v>704</v>
      </c>
      <c r="H23" s="473" t="s">
        <v>449</v>
      </c>
      <c r="I23" s="53" t="s">
        <v>475</v>
      </c>
      <c r="J23" s="955" t="s">
        <v>653</v>
      </c>
      <c r="K23" s="53" t="s">
        <v>572</v>
      </c>
      <c r="L23" s="956" t="s">
        <v>654</v>
      </c>
      <c r="M23" s="54" t="s">
        <v>516</v>
      </c>
      <c r="N23" s="110" t="s">
        <v>656</v>
      </c>
      <c r="O23" s="995" t="s">
        <v>710</v>
      </c>
      <c r="P23" s="58">
        <f>COUNTIF(B5:G35,"BOUALEM")</f>
        <v>1</v>
      </c>
      <c r="Q23" s="58">
        <f>COUNTIF(K5:M35,"BOUALEM")</f>
        <v>0</v>
      </c>
      <c r="R23" s="59">
        <f t="shared" ref="R23" si="0">COUNTIF(I7:I37,"ABDELLAH")</f>
        <v>4</v>
      </c>
      <c r="S23" s="58">
        <f>COUNTIF(H7:H37,"BOUALEM")</f>
        <v>0</v>
      </c>
      <c r="T23" s="68"/>
    </row>
    <row r="24" spans="1:23" ht="16.5" thickBot="1">
      <c r="A24" s="1005">
        <v>46162</v>
      </c>
      <c r="B24" s="953" t="s">
        <v>466</v>
      </c>
      <c r="C24" s="49" t="s">
        <v>475</v>
      </c>
      <c r="D24" s="49" t="s">
        <v>476</v>
      </c>
      <c r="E24" s="50" t="s">
        <v>34</v>
      </c>
      <c r="F24" s="56" t="s">
        <v>678</v>
      </c>
      <c r="G24" s="56" t="s">
        <v>704</v>
      </c>
      <c r="H24" s="52" t="s">
        <v>73</v>
      </c>
      <c r="I24" s="53" t="s">
        <v>708</v>
      </c>
      <c r="J24" s="955" t="s">
        <v>656</v>
      </c>
      <c r="K24" s="53" t="s">
        <v>459</v>
      </c>
      <c r="L24" s="956" t="s">
        <v>653</v>
      </c>
      <c r="M24" s="54" t="s">
        <v>678</v>
      </c>
      <c r="N24" s="110" t="s">
        <v>654</v>
      </c>
    </row>
    <row r="25" spans="1:23" ht="16.5" thickBot="1">
      <c r="A25" s="1005">
        <v>46163</v>
      </c>
      <c r="B25" s="953" t="s">
        <v>466</v>
      </c>
      <c r="C25" s="69" t="s">
        <v>678</v>
      </c>
      <c r="D25" s="49" t="s">
        <v>476</v>
      </c>
      <c r="E25" s="50" t="s">
        <v>457</v>
      </c>
      <c r="F25" s="56" t="s">
        <v>710</v>
      </c>
      <c r="G25" s="56" t="s">
        <v>704</v>
      </c>
      <c r="H25" s="53" t="s">
        <v>34</v>
      </c>
      <c r="I25" s="52" t="s">
        <v>710</v>
      </c>
      <c r="J25" s="955" t="s">
        <v>654</v>
      </c>
      <c r="K25" s="52" t="s">
        <v>458</v>
      </c>
      <c r="L25" s="956" t="s">
        <v>656</v>
      </c>
      <c r="M25" s="54" t="s">
        <v>446</v>
      </c>
      <c r="N25" s="110" t="s">
        <v>653</v>
      </c>
    </row>
    <row r="26" spans="1:23" ht="16.5" thickBot="1">
      <c r="A26" s="1005">
        <v>46164</v>
      </c>
      <c r="B26" s="996"/>
      <c r="C26" s="1004" t="s">
        <v>436</v>
      </c>
      <c r="D26" s="1000" t="s">
        <v>457</v>
      </c>
      <c r="E26" s="1003"/>
      <c r="F26" s="1002" t="s">
        <v>708</v>
      </c>
      <c r="G26" s="1002" t="s">
        <v>704</v>
      </c>
      <c r="H26" s="1012" t="s">
        <v>449</v>
      </c>
      <c r="I26" s="1017" t="s">
        <v>708</v>
      </c>
      <c r="J26" s="1018" t="s">
        <v>653</v>
      </c>
      <c r="K26" s="1017" t="s">
        <v>436</v>
      </c>
      <c r="L26" s="1019" t="s">
        <v>654</v>
      </c>
      <c r="M26" s="1020"/>
      <c r="N26" s="1021" t="s">
        <v>656</v>
      </c>
    </row>
    <row r="27" spans="1:23" ht="16.5" thickBot="1">
      <c r="A27" s="1005">
        <v>46165</v>
      </c>
      <c r="B27" s="996" t="s">
        <v>466</v>
      </c>
      <c r="C27" s="1000" t="s">
        <v>475</v>
      </c>
      <c r="D27" s="1000" t="s">
        <v>516</v>
      </c>
      <c r="E27" s="1001" t="s">
        <v>457</v>
      </c>
      <c r="F27" s="1002"/>
      <c r="G27" s="1002"/>
      <c r="H27" s="1017" t="s">
        <v>34</v>
      </c>
      <c r="I27" s="1022" t="s">
        <v>475</v>
      </c>
      <c r="J27" s="1018" t="s">
        <v>656</v>
      </c>
      <c r="K27" s="1022" t="s">
        <v>516</v>
      </c>
      <c r="L27" s="1019" t="s">
        <v>653</v>
      </c>
      <c r="M27" s="1020" t="s">
        <v>446</v>
      </c>
      <c r="N27" s="1021" t="s">
        <v>654</v>
      </c>
    </row>
    <row r="28" spans="1:23" ht="16.5" thickBot="1">
      <c r="A28" s="1005">
        <v>46166</v>
      </c>
      <c r="B28" s="953" t="s">
        <v>466</v>
      </c>
      <c r="C28" s="49" t="s">
        <v>475</v>
      </c>
      <c r="D28" s="49" t="s">
        <v>476</v>
      </c>
      <c r="E28" s="50" t="s">
        <v>457</v>
      </c>
      <c r="F28" s="56" t="s">
        <v>34</v>
      </c>
      <c r="G28" s="56" t="s">
        <v>704</v>
      </c>
      <c r="H28" s="53" t="s">
        <v>73</v>
      </c>
      <c r="I28" s="53"/>
      <c r="J28" s="955" t="s">
        <v>654</v>
      </c>
      <c r="K28" s="53" t="s">
        <v>457</v>
      </c>
      <c r="L28" s="956" t="s">
        <v>656</v>
      </c>
      <c r="M28" s="54" t="s">
        <v>449</v>
      </c>
      <c r="N28" s="110" t="s">
        <v>653</v>
      </c>
    </row>
    <row r="29" spans="1:23" ht="16.5" thickBot="1">
      <c r="A29" s="1005">
        <v>46167</v>
      </c>
      <c r="B29" s="953" t="s">
        <v>466</v>
      </c>
      <c r="C29" s="49" t="s">
        <v>475</v>
      </c>
      <c r="D29" s="49" t="s">
        <v>476</v>
      </c>
      <c r="E29" s="50" t="s">
        <v>709</v>
      </c>
      <c r="F29" s="56"/>
      <c r="G29" s="56" t="s">
        <v>704</v>
      </c>
      <c r="H29" s="473" t="s">
        <v>449</v>
      </c>
      <c r="I29" s="52"/>
      <c r="J29" s="955" t="s">
        <v>653</v>
      </c>
      <c r="K29" s="52" t="s">
        <v>458</v>
      </c>
      <c r="L29" s="956" t="s">
        <v>654</v>
      </c>
      <c r="M29" s="54" t="s">
        <v>34</v>
      </c>
      <c r="N29" s="110" t="s">
        <v>656</v>
      </c>
    </row>
    <row r="30" spans="1:23" ht="16.5" thickBot="1">
      <c r="A30" s="1005">
        <v>46168</v>
      </c>
      <c r="B30" s="953" t="s">
        <v>457</v>
      </c>
      <c r="C30" s="49" t="s">
        <v>475</v>
      </c>
      <c r="D30" s="49" t="s">
        <v>516</v>
      </c>
      <c r="E30" s="50"/>
      <c r="F30" s="56"/>
      <c r="G30" s="56" t="s">
        <v>704</v>
      </c>
      <c r="H30" s="52" t="s">
        <v>73</v>
      </c>
      <c r="I30" s="52" t="s">
        <v>475</v>
      </c>
      <c r="J30" s="955" t="s">
        <v>656</v>
      </c>
      <c r="K30" s="52" t="s">
        <v>457</v>
      </c>
      <c r="L30" s="956" t="s">
        <v>653</v>
      </c>
      <c r="M30" s="54" t="s">
        <v>516</v>
      </c>
      <c r="N30" s="110" t="s">
        <v>654</v>
      </c>
    </row>
    <row r="31" spans="1:23" ht="16.5" thickBot="1">
      <c r="A31" s="1005">
        <v>46169</v>
      </c>
      <c r="B31" s="959"/>
      <c r="C31" s="960" t="s">
        <v>457</v>
      </c>
      <c r="D31" s="960"/>
      <c r="E31" s="961"/>
      <c r="F31" s="962"/>
      <c r="G31" s="962"/>
      <c r="H31" s="964" t="s">
        <v>34</v>
      </c>
      <c r="I31" s="964"/>
      <c r="J31" s="963" t="s">
        <v>654</v>
      </c>
      <c r="K31" s="964" t="s">
        <v>457</v>
      </c>
      <c r="L31" s="965" t="s">
        <v>656</v>
      </c>
      <c r="M31" s="966"/>
      <c r="N31" s="967" t="s">
        <v>653</v>
      </c>
    </row>
    <row r="32" spans="1:23" ht="16.5" thickBot="1">
      <c r="A32" s="1005">
        <v>46170</v>
      </c>
      <c r="B32" s="959"/>
      <c r="C32" s="960" t="s">
        <v>678</v>
      </c>
      <c r="D32" s="960" t="s">
        <v>516</v>
      </c>
      <c r="E32" s="961"/>
      <c r="F32" s="962"/>
      <c r="G32" s="962"/>
      <c r="H32" s="993" t="s">
        <v>449</v>
      </c>
      <c r="I32" s="964"/>
      <c r="J32" s="963" t="s">
        <v>653</v>
      </c>
      <c r="K32" s="964" t="s">
        <v>678</v>
      </c>
      <c r="L32" s="965" t="s">
        <v>654</v>
      </c>
      <c r="M32" s="968" t="s">
        <v>516</v>
      </c>
      <c r="N32" s="967" t="s">
        <v>656</v>
      </c>
    </row>
    <row r="33" spans="1:14" ht="16.5" thickBot="1">
      <c r="A33" s="1005">
        <v>46171</v>
      </c>
      <c r="B33" s="959"/>
      <c r="C33" s="960" t="s">
        <v>459</v>
      </c>
      <c r="D33" s="960" t="s">
        <v>73</v>
      </c>
      <c r="E33" s="961"/>
      <c r="F33" s="962"/>
      <c r="G33" s="962"/>
      <c r="H33" s="971" t="s">
        <v>34</v>
      </c>
      <c r="I33" s="971"/>
      <c r="J33" s="963" t="s">
        <v>656</v>
      </c>
      <c r="K33" s="971" t="s">
        <v>459</v>
      </c>
      <c r="L33" s="965" t="s">
        <v>653</v>
      </c>
      <c r="M33" s="966" t="s">
        <v>73</v>
      </c>
      <c r="N33" s="967" t="s">
        <v>654</v>
      </c>
    </row>
    <row r="34" spans="1:14" ht="16.5" thickBot="1">
      <c r="A34" s="1005">
        <v>46172</v>
      </c>
      <c r="B34" s="996" t="s">
        <v>449</v>
      </c>
      <c r="C34" s="1000" t="s">
        <v>709</v>
      </c>
      <c r="D34" s="1000" t="s">
        <v>516</v>
      </c>
      <c r="E34" s="1003" t="s">
        <v>457</v>
      </c>
      <c r="F34" s="1002" t="s">
        <v>34</v>
      </c>
      <c r="G34" s="1002"/>
      <c r="H34" s="1022" t="s">
        <v>73</v>
      </c>
      <c r="I34" s="1017"/>
      <c r="J34" s="1018" t="s">
        <v>654</v>
      </c>
      <c r="K34" s="1017" t="s">
        <v>516</v>
      </c>
      <c r="L34" s="1019" t="s">
        <v>656</v>
      </c>
      <c r="M34" s="1020" t="s">
        <v>446</v>
      </c>
      <c r="N34" s="1021" t="s">
        <v>653</v>
      </c>
    </row>
    <row r="35" spans="1:14" ht="16.5" thickBot="1">
      <c r="A35" s="1006">
        <v>46173</v>
      </c>
      <c r="B35" s="970" t="s">
        <v>459</v>
      </c>
      <c r="C35" s="969" t="s">
        <v>709</v>
      </c>
      <c r="D35" s="72" t="s">
        <v>476</v>
      </c>
      <c r="E35" s="73" t="s">
        <v>457</v>
      </c>
      <c r="F35" s="954" t="s">
        <v>73</v>
      </c>
      <c r="G35" s="954" t="s">
        <v>704</v>
      </c>
      <c r="H35" s="994" t="s">
        <v>449</v>
      </c>
      <c r="I35" s="74"/>
      <c r="J35" s="957" t="s">
        <v>653</v>
      </c>
      <c r="K35" s="74" t="s">
        <v>457</v>
      </c>
      <c r="L35" s="958" t="s">
        <v>654</v>
      </c>
      <c r="M35" s="75" t="s">
        <v>678</v>
      </c>
      <c r="N35" s="120" t="s">
        <v>656</v>
      </c>
    </row>
    <row r="36" spans="1:14" ht="16.5" thickBot="1">
      <c r="A36" s="1006">
        <v>46174</v>
      </c>
      <c r="B36" t="s">
        <v>449</v>
      </c>
      <c r="C36" s="1025" t="s">
        <v>709</v>
      </c>
      <c r="H36" t="s">
        <v>34</v>
      </c>
    </row>
    <row r="37" spans="1:14" ht="16.5" thickBot="1">
      <c r="A37" s="1006">
        <v>46175</v>
      </c>
      <c r="B37" t="s">
        <v>449</v>
      </c>
      <c r="H37" t="s">
        <v>73</v>
      </c>
    </row>
    <row r="38" spans="1:14" ht="16.5" thickBot="1">
      <c r="A38" s="1006">
        <v>46176</v>
      </c>
      <c r="B38" t="s">
        <v>73</v>
      </c>
      <c r="C38" t="s">
        <v>709</v>
      </c>
      <c r="H38" t="s">
        <v>449</v>
      </c>
    </row>
    <row r="39" spans="1:14" ht="16.5" thickBot="1">
      <c r="A39" s="1006">
        <v>46177</v>
      </c>
      <c r="B39" t="s">
        <v>449</v>
      </c>
      <c r="C39" t="s">
        <v>709</v>
      </c>
      <c r="H39" t="s">
        <v>34</v>
      </c>
    </row>
    <row r="40" spans="1:14" ht="16.5" thickBot="1">
      <c r="A40" s="1006">
        <v>46178</v>
      </c>
      <c r="B40" t="s">
        <v>449</v>
      </c>
      <c r="C40" t="s">
        <v>709</v>
      </c>
      <c r="H40" t="s">
        <v>73</v>
      </c>
    </row>
    <row r="41" spans="1:14" ht="16.5" thickBot="1">
      <c r="A41" s="1026">
        <v>46179</v>
      </c>
      <c r="B41" t="s">
        <v>73</v>
      </c>
      <c r="C41" t="s">
        <v>709</v>
      </c>
      <c r="H41" t="s">
        <v>449</v>
      </c>
    </row>
    <row r="42" spans="1:14" ht="16.5" thickBot="1">
      <c r="A42" s="1026">
        <v>46180</v>
      </c>
      <c r="B42" t="s">
        <v>449</v>
      </c>
      <c r="C42" t="s">
        <v>475</v>
      </c>
      <c r="H42" t="s">
        <v>34</v>
      </c>
    </row>
    <row r="43" spans="1:14" ht="16.5" thickBot="1">
      <c r="A43" s="1026">
        <v>46181</v>
      </c>
      <c r="B43" t="s">
        <v>449</v>
      </c>
      <c r="H43" t="s">
        <v>73</v>
      </c>
    </row>
    <row r="44" spans="1:14" ht="16.5" thickBot="1">
      <c r="A44" s="1028"/>
    </row>
    <row r="45" spans="1:14" ht="16.5" thickBot="1">
      <c r="A45" s="1028"/>
    </row>
    <row r="46" spans="1:14" ht="15.75">
      <c r="A46" s="1028"/>
    </row>
    <row r="47" spans="1:14" ht="15.75">
      <c r="A47" s="1027"/>
    </row>
  </sheetData>
  <mergeCells count="25">
    <mergeCell ref="U21:W21"/>
    <mergeCell ref="U10:W10"/>
    <mergeCell ref="U11:W11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9:W9"/>
    <mergeCell ref="A1:N2"/>
    <mergeCell ref="O1:T2"/>
    <mergeCell ref="A3:A4"/>
    <mergeCell ref="I3:N3"/>
    <mergeCell ref="I4:J4"/>
    <mergeCell ref="K4:N4"/>
    <mergeCell ref="U4:W4"/>
    <mergeCell ref="U5:W5"/>
    <mergeCell ref="U6:W6"/>
    <mergeCell ref="U7:W7"/>
    <mergeCell ref="U8:W8"/>
    <mergeCell ref="B3:G3"/>
  </mergeCells>
  <pageMargins left="0" right="0" top="0" bottom="0" header="0" footer="0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ADFB-4705-40D8-B619-F1A1BECC0BAC}">
  <dimension ref="A1:T35"/>
  <sheetViews>
    <sheetView tabSelected="1" topLeftCell="B1" workbookViewId="0">
      <selection activeCell="O3" sqref="O3:T21"/>
    </sheetView>
  </sheetViews>
  <sheetFormatPr baseColWidth="10" defaultRowHeight="15"/>
  <cols>
    <col min="1" max="1" width="21.28515625" customWidth="1"/>
    <col min="8" max="8" width="10.28515625" customWidth="1"/>
    <col min="10" max="10" width="3.140625" customWidth="1"/>
    <col min="12" max="12" width="3.140625" customWidth="1"/>
    <col min="13" max="13" width="10.7109375" customWidth="1"/>
    <col min="14" max="14" width="3.140625" customWidth="1"/>
    <col min="15" max="15" width="40.5703125" customWidth="1"/>
  </cols>
  <sheetData>
    <row r="1" spans="1:20">
      <c r="A1" s="1394" t="s">
        <v>711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6"/>
      <c r="O1" s="1401"/>
      <c r="P1" s="1147"/>
      <c r="Q1" s="1147"/>
      <c r="R1" s="1147"/>
      <c r="S1" s="1147"/>
      <c r="T1" s="1147"/>
    </row>
    <row r="2" spans="1:20" ht="15.75" thickBot="1">
      <c r="A2" s="1397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398"/>
      <c r="O2" s="1401"/>
      <c r="P2" s="1147"/>
      <c r="Q2" s="1147"/>
      <c r="R2" s="1147"/>
      <c r="S2" s="1147"/>
      <c r="T2" s="1147"/>
    </row>
    <row r="3" spans="1:20" ht="19.5" thickBot="1">
      <c r="A3" s="1355" t="s">
        <v>2</v>
      </c>
      <c r="B3" s="1443" t="s">
        <v>543</v>
      </c>
      <c r="C3" s="1444"/>
      <c r="D3" s="1444"/>
      <c r="E3" s="1444"/>
      <c r="F3" s="1444"/>
      <c r="G3" s="1445"/>
      <c r="H3" s="1035" t="s">
        <v>624</v>
      </c>
      <c r="I3" s="1446" t="s">
        <v>544</v>
      </c>
      <c r="J3" s="1447"/>
      <c r="K3" s="1447"/>
      <c r="L3" s="1447"/>
      <c r="M3" s="1447"/>
      <c r="N3" s="1448"/>
      <c r="O3" s="6"/>
      <c r="P3" s="7" t="s">
        <v>637</v>
      </c>
      <c r="Q3" s="7" t="s">
        <v>638</v>
      </c>
      <c r="R3" s="8" t="s">
        <v>639</v>
      </c>
      <c r="S3" s="9" t="s">
        <v>640</v>
      </c>
      <c r="T3" s="10" t="s">
        <v>479</v>
      </c>
    </row>
    <row r="4" spans="1:20" ht="16.5" thickBot="1">
      <c r="A4" s="1357"/>
      <c r="B4" s="1030" t="s">
        <v>8</v>
      </c>
      <c r="C4" s="1031" t="s">
        <v>9</v>
      </c>
      <c r="D4" s="1031" t="s">
        <v>10</v>
      </c>
      <c r="E4" s="1032" t="s">
        <v>7</v>
      </c>
      <c r="F4" s="1033" t="s">
        <v>434</v>
      </c>
      <c r="G4" s="1034" t="s">
        <v>625</v>
      </c>
      <c r="H4" s="1044" t="s">
        <v>677</v>
      </c>
      <c r="I4" s="1449" t="s">
        <v>626</v>
      </c>
      <c r="J4" s="1450"/>
      <c r="K4" s="1451" t="s">
        <v>546</v>
      </c>
      <c r="L4" s="1452"/>
      <c r="M4" s="1452"/>
      <c r="N4" s="1453"/>
      <c r="O4" s="17" t="s">
        <v>208</v>
      </c>
      <c r="P4" s="18">
        <f>COUNTIF(B5:G35,"NASSIMA")</f>
        <v>6</v>
      </c>
      <c r="Q4" s="18">
        <f>COUNTIF(K5:M35,"NASSIMA")</f>
        <v>0</v>
      </c>
      <c r="R4" s="18">
        <f>COUNTIF(H5:H35,"µNASSIMA")</f>
        <v>0</v>
      </c>
      <c r="S4" s="19">
        <f>COUNTIF(H5:H35,"NASSIMA")</f>
        <v>11</v>
      </c>
      <c r="T4" s="20"/>
    </row>
    <row r="5" spans="1:20" ht="16.5" thickBot="1">
      <c r="A5" s="1029">
        <v>46174</v>
      </c>
      <c r="B5" s="1036" t="s">
        <v>449</v>
      </c>
      <c r="C5" s="1037" t="s">
        <v>678</v>
      </c>
      <c r="D5" s="1045" t="s">
        <v>476</v>
      </c>
      <c r="E5" s="1045"/>
      <c r="F5" s="1045" t="s">
        <v>34</v>
      </c>
      <c r="G5" s="1069" t="s">
        <v>704</v>
      </c>
      <c r="H5" s="1065" t="s">
        <v>73</v>
      </c>
      <c r="I5" s="1046" t="s">
        <v>678</v>
      </c>
      <c r="J5" s="1058" t="s">
        <v>653</v>
      </c>
      <c r="K5" s="1046" t="s">
        <v>458</v>
      </c>
      <c r="L5" s="1062" t="s">
        <v>654</v>
      </c>
      <c r="M5" s="1048" t="s">
        <v>34</v>
      </c>
      <c r="N5" s="1047" t="s">
        <v>613</v>
      </c>
      <c r="O5" s="31" t="s">
        <v>700</v>
      </c>
      <c r="P5" s="18">
        <f>COUNTIF(B5:G35,"YASMINE")</f>
        <v>3</v>
      </c>
      <c r="Q5" s="18">
        <f>COUNTIF(J5:L35,"YASMINE")</f>
        <v>0</v>
      </c>
      <c r="R5" s="18">
        <f>COUNTIF(I5:I35,"YASMINE")</f>
        <v>0</v>
      </c>
      <c r="S5" s="19">
        <f>COUNTIF(H6:H36,"YASMINE")</f>
        <v>9</v>
      </c>
      <c r="T5" s="32"/>
    </row>
    <row r="6" spans="1:20" ht="16.5" thickBot="1">
      <c r="A6" s="1029">
        <v>46175</v>
      </c>
      <c r="B6" s="1038" t="s">
        <v>449</v>
      </c>
      <c r="C6" s="1039" t="s">
        <v>572</v>
      </c>
      <c r="D6" s="1039" t="s">
        <v>516</v>
      </c>
      <c r="E6" s="1039" t="s">
        <v>457</v>
      </c>
      <c r="F6" s="1039" t="s">
        <v>710</v>
      </c>
      <c r="G6" s="1070" t="s">
        <v>704</v>
      </c>
      <c r="H6" s="1066" t="s">
        <v>73</v>
      </c>
      <c r="I6" s="1049"/>
      <c r="J6" s="1059" t="s">
        <v>656</v>
      </c>
      <c r="K6" s="1049" t="s">
        <v>516</v>
      </c>
      <c r="L6" s="109" t="s">
        <v>653</v>
      </c>
      <c r="M6" s="1049" t="s">
        <v>572</v>
      </c>
      <c r="N6" s="1050" t="s">
        <v>612</v>
      </c>
      <c r="O6" s="31" t="s">
        <v>685</v>
      </c>
      <c r="P6" s="18">
        <f>COUNTIF(B5:G35,"HAYAT")</f>
        <v>4</v>
      </c>
      <c r="Q6" s="18">
        <f>COUNTIF(K5:M35,"HAYAT")</f>
        <v>4</v>
      </c>
      <c r="R6" s="18">
        <f>COUNTIF(I5:I35,"HAYAT")</f>
        <v>0</v>
      </c>
      <c r="S6" s="19">
        <f>COUNTIF(H5:H35,"HAYAT")</f>
        <v>10</v>
      </c>
      <c r="T6" s="32"/>
    </row>
    <row r="7" spans="1:20" ht="16.5" thickBot="1">
      <c r="A7" s="1029">
        <v>46176</v>
      </c>
      <c r="B7" s="1038" t="s">
        <v>459</v>
      </c>
      <c r="C7" s="1039" t="s">
        <v>709</v>
      </c>
      <c r="D7" s="1039" t="s">
        <v>476</v>
      </c>
      <c r="E7" s="1039" t="s">
        <v>710</v>
      </c>
      <c r="F7" s="1039"/>
      <c r="G7" s="1070" t="s">
        <v>704</v>
      </c>
      <c r="H7" s="1066" t="s">
        <v>449</v>
      </c>
      <c r="I7" s="1049" t="s">
        <v>710</v>
      </c>
      <c r="J7" s="1059" t="s">
        <v>654</v>
      </c>
      <c r="K7" s="1051" t="s">
        <v>459</v>
      </c>
      <c r="L7" s="109" t="s">
        <v>656</v>
      </c>
      <c r="M7" s="1051" t="s">
        <v>34</v>
      </c>
      <c r="N7" s="1050" t="s">
        <v>653</v>
      </c>
      <c r="O7" s="43" t="s">
        <v>701</v>
      </c>
      <c r="P7" s="18">
        <f>COUNTIF(B5:G35,"SOUMIA")</f>
        <v>3</v>
      </c>
      <c r="Q7" s="18">
        <f>COUNTIF(K5:M35,"SOUMIA")</f>
        <v>8</v>
      </c>
      <c r="R7" s="18">
        <f>COUNTIF(I5:I35,"SOUMIA")</f>
        <v>0</v>
      </c>
      <c r="S7" s="19">
        <f>COUNTIF(H5:H35,"SOUMIA")</f>
        <v>0</v>
      </c>
      <c r="T7" s="44"/>
    </row>
    <row r="8" spans="1:20" ht="16.5" thickBot="1">
      <c r="A8" s="1029">
        <v>46177</v>
      </c>
      <c r="B8" s="1038" t="s">
        <v>449</v>
      </c>
      <c r="C8" s="1039" t="s">
        <v>709</v>
      </c>
      <c r="D8" s="1039" t="s">
        <v>476</v>
      </c>
      <c r="E8" s="1039" t="s">
        <v>457</v>
      </c>
      <c r="F8" s="1039"/>
      <c r="G8" s="1070" t="s">
        <v>704</v>
      </c>
      <c r="H8" s="1066" t="s">
        <v>34</v>
      </c>
      <c r="I8" s="1049" t="s">
        <v>710</v>
      </c>
      <c r="J8" s="1059" t="s">
        <v>653</v>
      </c>
      <c r="K8" s="1051" t="s">
        <v>458</v>
      </c>
      <c r="L8" s="109" t="s">
        <v>654</v>
      </c>
      <c r="M8" s="1051" t="s">
        <v>446</v>
      </c>
      <c r="N8" s="1050" t="s">
        <v>656</v>
      </c>
      <c r="O8" s="45" t="s">
        <v>686</v>
      </c>
      <c r="P8" s="18">
        <f>COUNTIF(B5:G35,"SARAH")</f>
        <v>21</v>
      </c>
      <c r="Q8" s="18">
        <f>COUNTIF(K5:M35,"SARAH")</f>
        <v>3</v>
      </c>
      <c r="R8" s="18">
        <f>COUNTIF(I5:I35,"SARAH")</f>
        <v>6</v>
      </c>
      <c r="S8" s="19">
        <f>COUNTIF(H5:H35,"SARAH")</f>
        <v>0</v>
      </c>
      <c r="T8" s="32"/>
    </row>
    <row r="9" spans="1:20" ht="16.5" thickBot="1">
      <c r="A9" s="1029">
        <v>46178</v>
      </c>
      <c r="B9" s="1040" t="s">
        <v>459</v>
      </c>
      <c r="C9" s="1041" t="s">
        <v>678</v>
      </c>
      <c r="D9" s="1041" t="s">
        <v>476</v>
      </c>
      <c r="E9" s="1041" t="s">
        <v>457</v>
      </c>
      <c r="F9" s="1041"/>
      <c r="G9" s="1071" t="s">
        <v>704</v>
      </c>
      <c r="H9" s="1067" t="s">
        <v>34</v>
      </c>
      <c r="I9" s="1052" t="s">
        <v>457</v>
      </c>
      <c r="J9" s="1060" t="s">
        <v>656</v>
      </c>
      <c r="K9" s="1052" t="s">
        <v>459</v>
      </c>
      <c r="L9" s="1063" t="s">
        <v>653</v>
      </c>
      <c r="M9" s="1052" t="s">
        <v>678</v>
      </c>
      <c r="N9" s="1050" t="s">
        <v>654</v>
      </c>
      <c r="O9" s="46" t="s">
        <v>688</v>
      </c>
      <c r="P9" s="18">
        <f>COUNTIF(B5:G35,"DJAMEL")</f>
        <v>0</v>
      </c>
      <c r="Q9" s="18">
        <f>COUNTIF(K5:M35,"DJAMEL")</f>
        <v>9</v>
      </c>
      <c r="R9" s="18">
        <f>COUNTIF(I5:I35,"DJAMEL")</f>
        <v>0</v>
      </c>
      <c r="S9" s="19">
        <f>COUNTIF(H5:H35,"DJAMEL")</f>
        <v>0</v>
      </c>
      <c r="T9" s="47"/>
    </row>
    <row r="10" spans="1:20" ht="16.5" thickBot="1">
      <c r="A10" s="1029">
        <v>46179</v>
      </c>
      <c r="B10" s="1040" t="s">
        <v>457</v>
      </c>
      <c r="C10" s="1041" t="s">
        <v>713</v>
      </c>
      <c r="D10" s="1041" t="s">
        <v>516</v>
      </c>
      <c r="E10" s="1041"/>
      <c r="F10" s="1041"/>
      <c r="G10" s="1071" t="s">
        <v>459</v>
      </c>
      <c r="H10" s="1067" t="s">
        <v>34</v>
      </c>
      <c r="I10" s="1052" t="s">
        <v>457</v>
      </c>
      <c r="J10" s="1060" t="s">
        <v>654</v>
      </c>
      <c r="K10" s="1052" t="s">
        <v>516</v>
      </c>
      <c r="L10" s="1063" t="s">
        <v>656</v>
      </c>
      <c r="M10" s="1052" t="s">
        <v>713</v>
      </c>
      <c r="N10" s="1050" t="s">
        <v>653</v>
      </c>
      <c r="O10" s="48" t="s">
        <v>691</v>
      </c>
      <c r="P10" s="18">
        <f>COUNTIF(B5:G35,"MOHAMED")</f>
        <v>22</v>
      </c>
      <c r="Q10" s="18">
        <f>COUNTIF(K5:M35,"MOHAMED")</f>
        <v>0</v>
      </c>
      <c r="R10" s="18">
        <f>COUNTIF(I5:I35,"MOHAMED")</f>
        <v>0</v>
      </c>
      <c r="S10" s="19">
        <f>COUNTIF(H5:H35,"MOHAMED")</f>
        <v>0</v>
      </c>
      <c r="T10" s="32"/>
    </row>
    <row r="11" spans="1:20" ht="16.5" thickBot="1">
      <c r="A11" s="1029">
        <v>46180</v>
      </c>
      <c r="B11" s="1038" t="s">
        <v>678</v>
      </c>
      <c r="C11" s="1039" t="s">
        <v>475</v>
      </c>
      <c r="D11" s="1039" t="s">
        <v>476</v>
      </c>
      <c r="E11" s="1039" t="s">
        <v>457</v>
      </c>
      <c r="F11" s="1039" t="s">
        <v>73</v>
      </c>
      <c r="G11" s="1070" t="s">
        <v>704</v>
      </c>
      <c r="H11" s="1066" t="s">
        <v>449</v>
      </c>
      <c r="I11" s="1051" t="s">
        <v>457</v>
      </c>
      <c r="J11" s="1059" t="s">
        <v>654</v>
      </c>
      <c r="K11" s="1051" t="s">
        <v>678</v>
      </c>
      <c r="L11" s="109" t="s">
        <v>653</v>
      </c>
      <c r="M11" s="1051" t="s">
        <v>708</v>
      </c>
      <c r="N11" s="1050" t="s">
        <v>656</v>
      </c>
      <c r="O11" s="48" t="s">
        <v>693</v>
      </c>
      <c r="P11" s="18">
        <f>COUNTIF(B5:G35,"HICHEM")</f>
        <v>21</v>
      </c>
      <c r="Q11" s="18">
        <f>COUNTIF(K5:M35,"HICHEM")</f>
        <v>0</v>
      </c>
      <c r="R11" s="18">
        <f>COUNTIF(I5:I35,"HICHEM")</f>
        <v>0</v>
      </c>
      <c r="S11" s="19">
        <f>COUNTIF(H5:H35,"HICHEM")</f>
        <v>0</v>
      </c>
      <c r="T11" s="32"/>
    </row>
    <row r="12" spans="1:20" ht="16.5" thickBot="1">
      <c r="A12" s="1029">
        <v>46181</v>
      </c>
      <c r="B12" s="1038" t="s">
        <v>449</v>
      </c>
      <c r="C12" s="1039" t="s">
        <v>475</v>
      </c>
      <c r="D12" s="1039" t="s">
        <v>476</v>
      </c>
      <c r="E12" s="1039" t="s">
        <v>678</v>
      </c>
      <c r="F12" s="1039"/>
      <c r="G12" s="1070" t="s">
        <v>704</v>
      </c>
      <c r="H12" s="1066" t="s">
        <v>73</v>
      </c>
      <c r="I12" s="1049" t="s">
        <v>678</v>
      </c>
      <c r="J12" s="1059" t="s">
        <v>656</v>
      </c>
      <c r="K12" s="1049" t="s">
        <v>458</v>
      </c>
      <c r="L12" s="109" t="s">
        <v>653</v>
      </c>
      <c r="M12" s="1051" t="s">
        <v>449</v>
      </c>
      <c r="N12" s="1050" t="s">
        <v>654</v>
      </c>
      <c r="O12" s="48" t="s">
        <v>694</v>
      </c>
      <c r="P12" s="18">
        <f>COUNTIF(B5:G35,"RACHID")</f>
        <v>17</v>
      </c>
      <c r="Q12" s="18">
        <f>COUNTIF(K5:M35,"RACHID")</f>
        <v>0</v>
      </c>
      <c r="R12" s="18">
        <f>COUNTIF(I5:I35,"RACHID")</f>
        <v>7</v>
      </c>
      <c r="S12" s="19">
        <f>COUNTIF(H5:H35,"RACHID")</f>
        <v>0</v>
      </c>
      <c r="T12" s="32"/>
    </row>
    <row r="13" spans="1:20" ht="16.5" thickBot="1">
      <c r="A13" s="1029">
        <v>46182</v>
      </c>
      <c r="B13" s="1053" t="s">
        <v>466</v>
      </c>
      <c r="C13" s="1039" t="s">
        <v>475</v>
      </c>
      <c r="D13" s="1039" t="s">
        <v>516</v>
      </c>
      <c r="E13" s="1039" t="s">
        <v>457</v>
      </c>
      <c r="F13" s="1054"/>
      <c r="G13" s="1070" t="s">
        <v>704</v>
      </c>
      <c r="H13" s="1066" t="s">
        <v>449</v>
      </c>
      <c r="I13" s="1049" t="s">
        <v>475</v>
      </c>
      <c r="J13" s="1059" t="s">
        <v>654</v>
      </c>
      <c r="K13" s="1049" t="s">
        <v>516</v>
      </c>
      <c r="L13" s="109" t="s">
        <v>656</v>
      </c>
      <c r="M13" s="1049" t="s">
        <v>713</v>
      </c>
      <c r="N13" s="1050" t="s">
        <v>653</v>
      </c>
      <c r="O13" s="48" t="s">
        <v>558</v>
      </c>
      <c r="P13" s="18">
        <f>COUNTIF(B5:G35,"HOCINE")</f>
        <v>9</v>
      </c>
      <c r="Q13" s="18">
        <f>COUNTIF(K5:M35,"HOCINE")</f>
        <v>10</v>
      </c>
      <c r="R13" s="18">
        <f>COUNTIF(I5:I35,"HOCINE")</f>
        <v>0</v>
      </c>
      <c r="S13" s="19">
        <f>COUNTIF(H5:H35,"HOCINE")</f>
        <v>0</v>
      </c>
      <c r="T13" s="32"/>
    </row>
    <row r="14" spans="1:20" ht="16.5" thickBot="1">
      <c r="A14" s="1029">
        <v>46183</v>
      </c>
      <c r="B14" s="1053" t="s">
        <v>466</v>
      </c>
      <c r="C14" s="1039" t="s">
        <v>475</v>
      </c>
      <c r="D14" s="1039" t="s">
        <v>476</v>
      </c>
      <c r="E14" s="1039" t="s">
        <v>710</v>
      </c>
      <c r="F14" s="1054"/>
      <c r="G14" s="1070" t="s">
        <v>704</v>
      </c>
      <c r="H14" s="1066" t="s">
        <v>73</v>
      </c>
      <c r="I14" s="1051" t="s">
        <v>704</v>
      </c>
      <c r="J14" s="1059" t="s">
        <v>653</v>
      </c>
      <c r="K14" s="1051" t="s">
        <v>459</v>
      </c>
      <c r="L14" s="109" t="s">
        <v>654</v>
      </c>
      <c r="M14" s="1049" t="s">
        <v>713</v>
      </c>
      <c r="N14" s="1050" t="s">
        <v>656</v>
      </c>
      <c r="O14" s="48" t="s">
        <v>559</v>
      </c>
      <c r="P14" s="18">
        <f>COUNTIF(B5:G35,"TCHIKOU")</f>
        <v>0</v>
      </c>
      <c r="Q14" s="18">
        <f>COUNTIF(K5:M35,"TCHIKOU")</f>
        <v>3</v>
      </c>
      <c r="R14" s="18">
        <f>COUNTIF(I5:I35,"TCHIKOU")</f>
        <v>0</v>
      </c>
      <c r="S14" s="19">
        <f>COUNTIF(H5:H35,"TCHIKOU")</f>
        <v>0</v>
      </c>
      <c r="T14" s="32"/>
    </row>
    <row r="15" spans="1:20" ht="16.5" thickBot="1">
      <c r="A15" s="1029">
        <v>46184</v>
      </c>
      <c r="B15" s="1053" t="s">
        <v>466</v>
      </c>
      <c r="C15" s="1039" t="s">
        <v>713</v>
      </c>
      <c r="D15" s="1039" t="s">
        <v>476</v>
      </c>
      <c r="E15" s="1039" t="s">
        <v>457</v>
      </c>
      <c r="F15" s="1054"/>
      <c r="G15" s="1070" t="s">
        <v>704</v>
      </c>
      <c r="H15" s="1066" t="s">
        <v>73</v>
      </c>
      <c r="I15" s="1051"/>
      <c r="J15" s="1059" t="s">
        <v>656</v>
      </c>
      <c r="K15" s="1051" t="s">
        <v>458</v>
      </c>
      <c r="L15" s="109" t="s">
        <v>653</v>
      </c>
      <c r="M15" s="1051" t="s">
        <v>446</v>
      </c>
      <c r="N15" s="1050" t="s">
        <v>654</v>
      </c>
      <c r="O15" s="48" t="s">
        <v>560</v>
      </c>
      <c r="P15" s="18">
        <f>COUNTIF(B5:G35,"AHMED")</f>
        <v>0</v>
      </c>
      <c r="Q15" s="18">
        <f>COUNTIF(K5:M35,"AHMED")</f>
        <v>0</v>
      </c>
      <c r="R15" s="18">
        <f>COUNTIF(I5:I35,"AHMED")</f>
        <v>0</v>
      </c>
      <c r="S15" s="19">
        <f>COUNTIF(H5:H35,"AHMED")</f>
        <v>0</v>
      </c>
      <c r="T15" s="32"/>
    </row>
    <row r="16" spans="1:20" ht="16.5" thickBot="1">
      <c r="A16" s="1029">
        <v>46185</v>
      </c>
      <c r="B16" s="1055" t="s">
        <v>466</v>
      </c>
      <c r="C16" s="1041" t="s">
        <v>436</v>
      </c>
      <c r="D16" s="1041" t="s">
        <v>476</v>
      </c>
      <c r="E16" s="1041" t="s">
        <v>457</v>
      </c>
      <c r="F16" s="1041"/>
      <c r="G16" s="1071" t="s">
        <v>704</v>
      </c>
      <c r="H16" s="1067" t="s">
        <v>449</v>
      </c>
      <c r="I16" s="1052" t="s">
        <v>457</v>
      </c>
      <c r="J16" s="1060" t="s">
        <v>654</v>
      </c>
      <c r="K16" s="1052" t="s">
        <v>459</v>
      </c>
      <c r="L16" s="1063" t="s">
        <v>656</v>
      </c>
      <c r="M16" s="1052" t="s">
        <v>436</v>
      </c>
      <c r="N16" s="1050" t="s">
        <v>653</v>
      </c>
      <c r="O16" s="48" t="s">
        <v>561</v>
      </c>
      <c r="P16" s="18">
        <f>COUNTIF(B5:G35,"ABDOU")</f>
        <v>3</v>
      </c>
      <c r="Q16" s="18">
        <f>COUNTIF(K5:M35,"ABDOU")</f>
        <v>2</v>
      </c>
      <c r="R16" s="18">
        <f>COUNTIF(I5:I35,"ABDOU")</f>
        <v>0</v>
      </c>
      <c r="S16" s="19">
        <f>COUNTIF(H5:H35,"ABDOU")</f>
        <v>0</v>
      </c>
      <c r="T16" s="32"/>
    </row>
    <row r="17" spans="1:20" ht="16.5" thickBot="1">
      <c r="A17" s="1029">
        <v>46186</v>
      </c>
      <c r="B17" s="1055" t="s">
        <v>466</v>
      </c>
      <c r="C17" s="1041" t="s">
        <v>475</v>
      </c>
      <c r="D17" s="1041" t="s">
        <v>516</v>
      </c>
      <c r="E17" s="1041" t="s">
        <v>457</v>
      </c>
      <c r="F17" s="1041" t="s">
        <v>678</v>
      </c>
      <c r="G17" s="1071"/>
      <c r="H17" s="1067" t="s">
        <v>34</v>
      </c>
      <c r="I17" s="1052" t="s">
        <v>475</v>
      </c>
      <c r="J17" s="1060" t="s">
        <v>653</v>
      </c>
      <c r="K17" s="1052" t="s">
        <v>516</v>
      </c>
      <c r="L17" s="1063" t="s">
        <v>654</v>
      </c>
      <c r="M17" s="1052" t="s">
        <v>678</v>
      </c>
      <c r="N17" s="1050" t="s">
        <v>656</v>
      </c>
      <c r="O17" s="48" t="s">
        <v>574</v>
      </c>
      <c r="P17" s="18">
        <f>COUNTIF(B5:G35,"AMINE")</f>
        <v>1</v>
      </c>
      <c r="Q17" s="18">
        <f>COUNTIF(K5:M35,"AMINE")</f>
        <v>4</v>
      </c>
      <c r="R17" s="18">
        <f>COUNTIF(I5:I35,"AMINE")</f>
        <v>0</v>
      </c>
      <c r="S17" s="19">
        <f>COUNTIF(H18:H48,"AMINE")</f>
        <v>0</v>
      </c>
      <c r="T17" s="32"/>
    </row>
    <row r="18" spans="1:20" ht="16.5" thickBot="1">
      <c r="A18" s="1029">
        <v>46187</v>
      </c>
      <c r="B18" s="1053" t="s">
        <v>466</v>
      </c>
      <c r="C18" s="1039" t="s">
        <v>475</v>
      </c>
      <c r="D18" s="1039" t="s">
        <v>476</v>
      </c>
      <c r="E18" s="1039" t="s">
        <v>457</v>
      </c>
      <c r="F18" s="1054" t="s">
        <v>34</v>
      </c>
      <c r="G18" s="1070" t="s">
        <v>704</v>
      </c>
      <c r="H18" s="1066" t="s">
        <v>73</v>
      </c>
      <c r="I18" s="1051" t="s">
        <v>708</v>
      </c>
      <c r="J18" s="1059" t="s">
        <v>656</v>
      </c>
      <c r="K18" s="1051" t="s">
        <v>457</v>
      </c>
      <c r="L18" s="109" t="s">
        <v>653</v>
      </c>
      <c r="M18" s="1049" t="s">
        <v>449</v>
      </c>
      <c r="N18" s="1050" t="s">
        <v>654</v>
      </c>
      <c r="O18" s="57" t="s">
        <v>674</v>
      </c>
      <c r="P18" s="18">
        <f>COUNTIF(B5:G35,"RAOUF")</f>
        <v>0</v>
      </c>
      <c r="Q18" s="18">
        <f>COUNTIF(J5:L35,"RAOUF")</f>
        <v>0</v>
      </c>
      <c r="R18" s="18">
        <f>COUNTIF(H5:H35,"RAOUF")</f>
        <v>0</v>
      </c>
      <c r="S18" s="19">
        <f>COUNTIF(H5:H35,"RAOUF")</f>
        <v>0</v>
      </c>
      <c r="T18" s="32"/>
    </row>
    <row r="19" spans="1:20" ht="16.5" thickBot="1">
      <c r="A19" s="1029">
        <v>46188</v>
      </c>
      <c r="B19" s="1053" t="s">
        <v>466</v>
      </c>
      <c r="C19" s="1039" t="s">
        <v>475</v>
      </c>
      <c r="D19" s="1039" t="s">
        <v>476</v>
      </c>
      <c r="E19" s="1039" t="s">
        <v>678</v>
      </c>
      <c r="F19" s="1054" t="s">
        <v>73</v>
      </c>
      <c r="G19" s="1070" t="s">
        <v>704</v>
      </c>
      <c r="H19" s="1066" t="s">
        <v>449</v>
      </c>
      <c r="I19" s="1049" t="s">
        <v>708</v>
      </c>
      <c r="J19" s="1059" t="s">
        <v>654</v>
      </c>
      <c r="K19" s="1049" t="s">
        <v>458</v>
      </c>
      <c r="L19" s="109" t="s">
        <v>656</v>
      </c>
      <c r="M19" s="1051" t="s">
        <v>678</v>
      </c>
      <c r="N19" s="1050" t="s">
        <v>653</v>
      </c>
      <c r="O19" s="57" t="s">
        <v>695</v>
      </c>
      <c r="P19" s="58">
        <f>COUNTIF(B5:G35,"NOUR")</f>
        <v>8</v>
      </c>
      <c r="Q19" s="58">
        <f>COUNTIF(K5:M35,"NOUR")</f>
        <v>5</v>
      </c>
      <c r="R19" s="58">
        <f>COUNTIF(I5:I35,"NOUR")</f>
        <v>3</v>
      </c>
      <c r="S19" s="19">
        <f>COUNTIF(H5:H35,"NOUR")</f>
        <v>0</v>
      </c>
      <c r="T19" s="32"/>
    </row>
    <row r="20" spans="1:20" ht="16.5" thickBot="1">
      <c r="A20" s="1029">
        <v>46189</v>
      </c>
      <c r="B20" s="1053" t="s">
        <v>466</v>
      </c>
      <c r="C20" s="1039" t="s">
        <v>475</v>
      </c>
      <c r="D20" s="1039" t="s">
        <v>516</v>
      </c>
      <c r="E20" s="1039" t="s">
        <v>457</v>
      </c>
      <c r="F20" s="1054"/>
      <c r="G20" s="1070" t="s">
        <v>704</v>
      </c>
      <c r="H20" s="1066" t="s">
        <v>34</v>
      </c>
      <c r="I20" s="1049" t="s">
        <v>475</v>
      </c>
      <c r="J20" s="1059" t="s">
        <v>653</v>
      </c>
      <c r="K20" s="1049" t="s">
        <v>516</v>
      </c>
      <c r="L20" s="109" t="s">
        <v>654</v>
      </c>
      <c r="M20" s="1051" t="s">
        <v>572</v>
      </c>
      <c r="N20" s="1050" t="s">
        <v>656</v>
      </c>
      <c r="O20" s="60" t="s">
        <v>704</v>
      </c>
      <c r="P20" s="61">
        <f>COUNTIF(F5:G35,"SABRINA")</f>
        <v>26</v>
      </c>
      <c r="Q20" s="61">
        <f>COUNTIF(K5:M35,"SABRINA")</f>
        <v>0</v>
      </c>
      <c r="R20" s="62">
        <f>COUNTIF(I5:I35,"SABRINA")</f>
        <v>1</v>
      </c>
      <c r="S20" s="19">
        <f>COUNTIF(H5:H35,"SABRINA")</f>
        <v>0</v>
      </c>
      <c r="T20" s="63"/>
    </row>
    <row r="21" spans="1:20" ht="16.5" thickBot="1">
      <c r="A21" s="1029">
        <v>46190</v>
      </c>
      <c r="B21" s="1053" t="s">
        <v>466</v>
      </c>
      <c r="C21" s="1039" t="s">
        <v>475</v>
      </c>
      <c r="D21" s="1039" t="s">
        <v>476</v>
      </c>
      <c r="E21" s="1039" t="s">
        <v>713</v>
      </c>
      <c r="F21" s="1054"/>
      <c r="G21" s="1070" t="s">
        <v>704</v>
      </c>
      <c r="H21" s="1066" t="s">
        <v>34</v>
      </c>
      <c r="I21" s="1051" t="s">
        <v>713</v>
      </c>
      <c r="J21" s="1059" t="s">
        <v>656</v>
      </c>
      <c r="K21" s="1051" t="s">
        <v>459</v>
      </c>
      <c r="L21" s="109" t="s">
        <v>653</v>
      </c>
      <c r="M21" s="1049" t="s">
        <v>449</v>
      </c>
      <c r="N21" s="1050" t="s">
        <v>654</v>
      </c>
      <c r="O21" s="995" t="s">
        <v>708</v>
      </c>
      <c r="P21" s="58">
        <f>COUNTIF(B5:G35,"ABDELLAH")</f>
        <v>1</v>
      </c>
      <c r="Q21" s="58">
        <f>COUNTIF(K5:M35,"ABDELLAH")</f>
        <v>5</v>
      </c>
      <c r="R21" s="59">
        <f>COUNTIF(I5:I35,"ABDELLAH")</f>
        <v>4</v>
      </c>
      <c r="S21" s="58">
        <f>COUNTIF(H5:H35,"ABDELLAH")</f>
        <v>0</v>
      </c>
      <c r="T21" s="68"/>
    </row>
    <row r="22" spans="1:20" ht="16.5" thickBot="1">
      <c r="A22" s="1029">
        <v>46191</v>
      </c>
      <c r="B22" s="1053" t="s">
        <v>466</v>
      </c>
      <c r="C22" s="1039" t="s">
        <v>713</v>
      </c>
      <c r="D22" s="1039" t="s">
        <v>476</v>
      </c>
      <c r="E22" s="1039" t="s">
        <v>457</v>
      </c>
      <c r="F22" s="1054" t="s">
        <v>34</v>
      </c>
      <c r="G22" s="1070" t="s">
        <v>704</v>
      </c>
      <c r="H22" s="1066" t="s">
        <v>449</v>
      </c>
      <c r="I22" s="1051"/>
      <c r="J22" s="1059" t="s">
        <v>654</v>
      </c>
      <c r="K22" s="1051" t="s">
        <v>458</v>
      </c>
      <c r="L22" s="109" t="s">
        <v>656</v>
      </c>
      <c r="M22" s="1049" t="s">
        <v>34</v>
      </c>
      <c r="N22" s="1050" t="s">
        <v>653</v>
      </c>
    </row>
    <row r="23" spans="1:20" ht="16.5" thickBot="1">
      <c r="A23" s="1029">
        <v>46192</v>
      </c>
      <c r="B23" s="1055" t="s">
        <v>466</v>
      </c>
      <c r="C23" s="1041" t="s">
        <v>436</v>
      </c>
      <c r="D23" s="1041" t="s">
        <v>476</v>
      </c>
      <c r="E23" s="1041" t="s">
        <v>457</v>
      </c>
      <c r="F23" s="1041"/>
      <c r="G23" s="1071" t="s">
        <v>704</v>
      </c>
      <c r="H23" s="1067" t="s">
        <v>73</v>
      </c>
      <c r="I23" s="1052" t="s">
        <v>457</v>
      </c>
      <c r="J23" s="1060" t="s">
        <v>653</v>
      </c>
      <c r="K23" s="1052" t="s">
        <v>708</v>
      </c>
      <c r="L23" s="1063" t="s">
        <v>654</v>
      </c>
      <c r="M23" s="1052" t="s">
        <v>34</v>
      </c>
      <c r="N23" s="1050" t="s">
        <v>656</v>
      </c>
    </row>
    <row r="24" spans="1:20" ht="16.5" thickBot="1">
      <c r="A24" s="1029">
        <v>46193</v>
      </c>
      <c r="B24" s="1055" t="s">
        <v>466</v>
      </c>
      <c r="C24" s="1041" t="s">
        <v>475</v>
      </c>
      <c r="D24" s="1041" t="s">
        <v>516</v>
      </c>
      <c r="E24" s="1041" t="s">
        <v>457</v>
      </c>
      <c r="F24" s="1041"/>
      <c r="G24" s="1071"/>
      <c r="H24" s="1067" t="s">
        <v>73</v>
      </c>
      <c r="I24" s="1052" t="s">
        <v>475</v>
      </c>
      <c r="J24" s="1060" t="s">
        <v>656</v>
      </c>
      <c r="K24" s="1052" t="s">
        <v>516</v>
      </c>
      <c r="L24" s="1063" t="s">
        <v>653</v>
      </c>
      <c r="M24" s="1056" t="s">
        <v>446</v>
      </c>
      <c r="N24" s="1050" t="s">
        <v>654</v>
      </c>
    </row>
    <row r="25" spans="1:20" ht="16.5" thickBot="1">
      <c r="A25" s="1029">
        <v>46194</v>
      </c>
      <c r="B25" s="1053" t="s">
        <v>466</v>
      </c>
      <c r="C25" s="1039" t="s">
        <v>713</v>
      </c>
      <c r="D25" s="1039" t="s">
        <v>476</v>
      </c>
      <c r="E25" s="1039" t="s">
        <v>457</v>
      </c>
      <c r="F25" s="1054" t="s">
        <v>73</v>
      </c>
      <c r="G25" s="1070" t="s">
        <v>704</v>
      </c>
      <c r="H25" s="1066" t="s">
        <v>449</v>
      </c>
      <c r="I25" s="1051" t="s">
        <v>713</v>
      </c>
      <c r="J25" s="1059" t="s">
        <v>654</v>
      </c>
      <c r="K25" s="1051" t="s">
        <v>457</v>
      </c>
      <c r="L25" s="109" t="s">
        <v>656</v>
      </c>
      <c r="M25" s="1051" t="s">
        <v>516</v>
      </c>
      <c r="N25" s="1050" t="s">
        <v>653</v>
      </c>
    </row>
    <row r="26" spans="1:20" ht="16.5" thickBot="1">
      <c r="A26" s="1029">
        <v>46195</v>
      </c>
      <c r="B26" s="1053" t="s">
        <v>466</v>
      </c>
      <c r="C26" s="1039" t="s">
        <v>475</v>
      </c>
      <c r="D26" s="1039" t="s">
        <v>476</v>
      </c>
      <c r="E26" s="1039" t="s">
        <v>708</v>
      </c>
      <c r="F26" s="1054"/>
      <c r="G26" s="1070" t="s">
        <v>704</v>
      </c>
      <c r="H26" s="1066" t="s">
        <v>34</v>
      </c>
      <c r="I26" s="1049" t="s">
        <v>708</v>
      </c>
      <c r="J26" s="1059" t="s">
        <v>653</v>
      </c>
      <c r="K26" s="1049" t="s">
        <v>458</v>
      </c>
      <c r="L26" s="109" t="s">
        <v>654</v>
      </c>
      <c r="M26" s="1051" t="s">
        <v>708</v>
      </c>
      <c r="N26" s="1050" t="s">
        <v>656</v>
      </c>
    </row>
    <row r="27" spans="1:20" ht="16.5" thickBot="1">
      <c r="A27" s="1029">
        <v>46196</v>
      </c>
      <c r="B27" s="1053" t="s">
        <v>466</v>
      </c>
      <c r="C27" s="1039" t="s">
        <v>475</v>
      </c>
      <c r="D27" s="1039" t="s">
        <v>516</v>
      </c>
      <c r="E27" s="1039" t="s">
        <v>457</v>
      </c>
      <c r="F27" s="1054"/>
      <c r="G27" s="1070" t="s">
        <v>704</v>
      </c>
      <c r="H27" s="1066" t="s">
        <v>73</v>
      </c>
      <c r="I27" s="1049" t="s">
        <v>475</v>
      </c>
      <c r="J27" s="1059" t="s">
        <v>656</v>
      </c>
      <c r="K27" s="1049" t="s">
        <v>516</v>
      </c>
      <c r="L27" s="109" t="s">
        <v>653</v>
      </c>
      <c r="M27" s="1051" t="s">
        <v>572</v>
      </c>
      <c r="N27" s="1050" t="s">
        <v>654</v>
      </c>
    </row>
    <row r="28" spans="1:20" ht="16.5" thickBot="1">
      <c r="A28" s="1029">
        <v>46197</v>
      </c>
      <c r="B28" s="1053" t="s">
        <v>466</v>
      </c>
      <c r="C28" s="1039" t="s">
        <v>475</v>
      </c>
      <c r="D28" s="1039" t="s">
        <v>476</v>
      </c>
      <c r="E28" s="1039" t="s">
        <v>713</v>
      </c>
      <c r="F28" s="1054" t="s">
        <v>678</v>
      </c>
      <c r="G28" s="1070" t="s">
        <v>704</v>
      </c>
      <c r="H28" s="1066" t="s">
        <v>449</v>
      </c>
      <c r="I28" s="1051" t="s">
        <v>713</v>
      </c>
      <c r="J28" s="1059" t="s">
        <v>654</v>
      </c>
      <c r="K28" s="1051" t="s">
        <v>459</v>
      </c>
      <c r="L28" s="109" t="s">
        <v>656</v>
      </c>
      <c r="M28" s="1051" t="s">
        <v>678</v>
      </c>
      <c r="N28" s="1050" t="s">
        <v>653</v>
      </c>
    </row>
    <row r="29" spans="1:20" ht="16.5" thickBot="1">
      <c r="A29" s="1029">
        <v>46198</v>
      </c>
      <c r="B29" s="1053" t="s">
        <v>466</v>
      </c>
      <c r="C29" s="1039" t="s">
        <v>73</v>
      </c>
      <c r="D29" s="1039" t="s">
        <v>476</v>
      </c>
      <c r="E29" s="1039" t="s">
        <v>457</v>
      </c>
      <c r="F29" s="1054"/>
      <c r="G29" s="1070" t="s">
        <v>704</v>
      </c>
      <c r="H29" s="1066" t="s">
        <v>34</v>
      </c>
      <c r="I29" s="1051"/>
      <c r="J29" s="1059" t="s">
        <v>653</v>
      </c>
      <c r="K29" s="1051" t="s">
        <v>458</v>
      </c>
      <c r="L29" s="109" t="s">
        <v>654</v>
      </c>
      <c r="M29" s="1051" t="s">
        <v>708</v>
      </c>
      <c r="N29" s="1050" t="s">
        <v>656</v>
      </c>
    </row>
    <row r="30" spans="1:20" ht="16.5" thickBot="1">
      <c r="A30" s="1029">
        <v>46199</v>
      </c>
      <c r="B30" s="1055" t="s">
        <v>466</v>
      </c>
      <c r="C30" s="1041" t="s">
        <v>436</v>
      </c>
      <c r="D30" s="1041" t="s">
        <v>476</v>
      </c>
      <c r="E30" s="1041" t="s">
        <v>457</v>
      </c>
      <c r="F30" s="1041"/>
      <c r="G30" s="1071" t="s">
        <v>704</v>
      </c>
      <c r="H30" s="1067" t="s">
        <v>73</v>
      </c>
      <c r="I30" s="1052" t="s">
        <v>457</v>
      </c>
      <c r="J30" s="1060" t="s">
        <v>656</v>
      </c>
      <c r="K30" s="1052" t="s">
        <v>459</v>
      </c>
      <c r="L30" s="1063" t="s">
        <v>653</v>
      </c>
      <c r="M30" s="1052" t="s">
        <v>436</v>
      </c>
      <c r="N30" s="1050" t="s">
        <v>654</v>
      </c>
    </row>
    <row r="31" spans="1:20" ht="16.5" thickBot="1">
      <c r="A31" s="1029">
        <v>46200</v>
      </c>
      <c r="B31" s="1055" t="s">
        <v>466</v>
      </c>
      <c r="C31" s="1041" t="s">
        <v>475</v>
      </c>
      <c r="D31" s="1041" t="s">
        <v>516</v>
      </c>
      <c r="E31" s="1041" t="s">
        <v>457</v>
      </c>
      <c r="F31" s="1041"/>
      <c r="G31" s="1071"/>
      <c r="H31" s="1067" t="s">
        <v>449</v>
      </c>
      <c r="I31" s="1052" t="s">
        <v>475</v>
      </c>
      <c r="J31" s="1060" t="s">
        <v>654</v>
      </c>
      <c r="K31" s="1052" t="s">
        <v>516</v>
      </c>
      <c r="L31" s="1063" t="s">
        <v>656</v>
      </c>
      <c r="M31" s="1056" t="s">
        <v>708</v>
      </c>
      <c r="N31" s="1050" t="s">
        <v>653</v>
      </c>
    </row>
    <row r="32" spans="1:20" ht="16.5" thickBot="1">
      <c r="A32" s="1029">
        <v>46201</v>
      </c>
      <c r="B32" s="1053" t="s">
        <v>466</v>
      </c>
      <c r="C32" s="1039" t="s">
        <v>475</v>
      </c>
      <c r="D32" s="1039" t="s">
        <v>476</v>
      </c>
      <c r="E32" s="1039" t="s">
        <v>457</v>
      </c>
      <c r="F32" s="1054" t="s">
        <v>73</v>
      </c>
      <c r="G32" s="1070" t="s">
        <v>704</v>
      </c>
      <c r="H32" s="1066" t="s">
        <v>34</v>
      </c>
      <c r="I32" s="1051" t="s">
        <v>708</v>
      </c>
      <c r="J32" s="1059" t="s">
        <v>653</v>
      </c>
      <c r="K32" s="1051" t="s">
        <v>457</v>
      </c>
      <c r="L32" s="109" t="s">
        <v>654</v>
      </c>
      <c r="M32" s="1057" t="s">
        <v>713</v>
      </c>
      <c r="N32" s="1050" t="s">
        <v>656</v>
      </c>
    </row>
    <row r="33" spans="1:14" ht="16.5" thickBot="1">
      <c r="A33" s="1029">
        <v>46202</v>
      </c>
      <c r="B33" s="1053" t="s">
        <v>466</v>
      </c>
      <c r="C33" s="1039" t="s">
        <v>475</v>
      </c>
      <c r="D33" s="1039" t="s">
        <v>476</v>
      </c>
      <c r="E33" s="1039" t="s">
        <v>678</v>
      </c>
      <c r="F33" s="1054"/>
      <c r="G33" s="1070" t="s">
        <v>704</v>
      </c>
      <c r="H33" s="1066" t="s">
        <v>73</v>
      </c>
      <c r="I33" s="1049" t="s">
        <v>678</v>
      </c>
      <c r="J33" s="1059" t="s">
        <v>656</v>
      </c>
      <c r="K33" s="1049" t="s">
        <v>458</v>
      </c>
      <c r="L33" s="109" t="s">
        <v>653</v>
      </c>
      <c r="M33" s="1051" t="s">
        <v>449</v>
      </c>
      <c r="N33" s="1050" t="s">
        <v>654</v>
      </c>
    </row>
    <row r="34" spans="1:14" ht="16.5" thickBot="1">
      <c r="A34" s="1029">
        <v>46203</v>
      </c>
      <c r="B34" s="1053" t="s">
        <v>466</v>
      </c>
      <c r="C34" s="1039" t="s">
        <v>475</v>
      </c>
      <c r="D34" s="1039" t="s">
        <v>516</v>
      </c>
      <c r="E34" s="1039" t="s">
        <v>457</v>
      </c>
      <c r="F34" s="1054" t="s">
        <v>73</v>
      </c>
      <c r="G34" s="1070" t="s">
        <v>704</v>
      </c>
      <c r="H34" s="1066" t="s">
        <v>449</v>
      </c>
      <c r="I34" s="1049" t="s">
        <v>475</v>
      </c>
      <c r="J34" s="1059" t="s">
        <v>654</v>
      </c>
      <c r="K34" s="1049" t="s">
        <v>516</v>
      </c>
      <c r="L34" s="109" t="s">
        <v>656</v>
      </c>
      <c r="M34" s="1051" t="s">
        <v>572</v>
      </c>
      <c r="N34" s="1050" t="s">
        <v>653</v>
      </c>
    </row>
    <row r="35" spans="1:14" ht="16.5" thickBot="1">
      <c r="A35" s="1029"/>
      <c r="B35" s="114"/>
      <c r="C35" s="1042"/>
      <c r="D35" s="1072"/>
      <c r="E35" s="1072"/>
      <c r="F35" s="1043"/>
      <c r="G35" s="1073"/>
      <c r="H35" s="1068"/>
      <c r="I35" s="75"/>
      <c r="J35" s="1061" t="s">
        <v>653</v>
      </c>
      <c r="K35" s="75" t="s">
        <v>459</v>
      </c>
      <c r="L35" s="1064" t="s">
        <v>654</v>
      </c>
      <c r="M35" s="75"/>
      <c r="N35" s="958" t="s">
        <v>656</v>
      </c>
    </row>
  </sheetData>
  <mergeCells count="7">
    <mergeCell ref="A1:N2"/>
    <mergeCell ref="O1:T2"/>
    <mergeCell ref="A3:A4"/>
    <mergeCell ref="B3:G3"/>
    <mergeCell ref="I3:N3"/>
    <mergeCell ref="I4:J4"/>
    <mergeCell ref="K4:N4"/>
  </mergeCells>
  <pageMargins left="0" right="0" top="0" bottom="0" header="0" footer="0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octobre</vt:lpstr>
      <vt:lpstr>novembre</vt:lpstr>
      <vt:lpstr>DECEMBRE</vt:lpstr>
      <vt:lpstr>mars</vt:lpstr>
      <vt:lpstr>JANVIER</vt:lpstr>
      <vt:lpstr>FEVRIER</vt:lpstr>
      <vt:lpstr>AVRIL</vt:lpstr>
      <vt:lpstr>mai</vt:lpstr>
      <vt:lpstr>juin</vt:lpstr>
      <vt:lpstr>juillet</vt:lpstr>
      <vt:lpstr>aout</vt:lpstr>
      <vt:lpstr>septembre</vt:lpstr>
      <vt:lpstr>octobr</vt:lpstr>
      <vt:lpstr>novbre</vt:lpstr>
      <vt:lpstr>DéCEMBRE</vt:lpstr>
      <vt:lpstr>janver</vt:lpstr>
      <vt:lpstr>FVRIER</vt:lpstr>
      <vt:lpstr>marss</vt:lpstr>
      <vt:lpstr>avril  </vt:lpstr>
      <vt:lpstr>juillett</vt:lpstr>
      <vt:lpstr>maii</vt:lpstr>
      <vt:lpstr>juinn</vt:lpstr>
      <vt:lpstr>AOUTT</vt:lpstr>
      <vt:lpstr>sept</vt:lpstr>
      <vt:lpstr>OCT</vt:lpstr>
      <vt:lpstr>NOV</vt:lpstr>
      <vt:lpstr>DEC</vt:lpstr>
      <vt:lpstr>janv</vt:lpstr>
      <vt:lpstr>FEV</vt:lpstr>
      <vt:lpstr>MAR</vt:lpstr>
      <vt:lpstr>AVR</vt:lpstr>
      <vt:lpstr>ma</vt:lpstr>
      <vt:lpstr>JUI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Mahdjate</dc:creator>
  <cp:lastModifiedBy>Oussama Mahdjate</cp:lastModifiedBy>
  <cp:lastPrinted>2026-06-15T09:46:53Z</cp:lastPrinted>
  <dcterms:created xsi:type="dcterms:W3CDTF">2022-09-25T20:13:00Z</dcterms:created>
  <dcterms:modified xsi:type="dcterms:W3CDTF">2026-06-23T12:26:02Z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818D5631606248D9A047A79C8D0D010C_12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